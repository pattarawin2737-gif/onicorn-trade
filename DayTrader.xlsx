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Trader" sheetId="1" r:id="rId5"/>
    <sheet state="visible" name="PLAN 2569" sheetId="2" r:id="rId6"/>
    <sheet state="visible" name="PLAN 2570" sheetId="3" r:id="rId7"/>
  </sheets>
  <definedNames/>
  <calcPr/>
</workbook>
</file>

<file path=xl/sharedStrings.xml><?xml version="1.0" encoding="utf-8"?>
<sst xmlns="http://schemas.openxmlformats.org/spreadsheetml/2006/main" count="369" uniqueCount="55">
  <si>
    <t>วันที่เปิด</t>
  </si>
  <si>
    <t>ช่วงเวลา</t>
  </si>
  <si>
    <t>คู่เงิน</t>
  </si>
  <si>
    <t>ประเภทการเข้า</t>
  </si>
  <si>
    <t>เหตุผลซัพพอร์ตออเดอร์
แท่งเทียน</t>
  </si>
  <si>
    <t>เหตุผลซัพพอร์ตออเดอร์
Indicator</t>
  </si>
  <si>
    <t>ผลลัพธ์</t>
  </si>
  <si>
    <t>ราคาที่เข้า</t>
  </si>
  <si>
    <t>ผลลัพธ์
(จุด)</t>
  </si>
  <si>
    <t>TP(จุด)
ที่ตั้งใว้</t>
  </si>
  <si>
    <t>เหตุผล Support จุดที่ปิด 
Order TP</t>
  </si>
  <si>
    <t>SL(จุด)
ที่ตั้งใว้</t>
  </si>
  <si>
    <t>เหตุผล Support จุดที่ปิด 
Order SL</t>
  </si>
  <si>
    <t>ความเสี่ยง</t>
  </si>
  <si>
    <t>บันทึกความรู้สึก</t>
  </si>
  <si>
    <t>หมายเหตุ</t>
  </si>
  <si>
    <t>% ชนะ</t>
  </si>
  <si>
    <t>% แพ้</t>
  </si>
  <si>
    <t>Take Profit</t>
  </si>
  <si>
    <t>SL หน้าทุน</t>
  </si>
  <si>
    <t>รวมที่ชนะ</t>
  </si>
  <si>
    <t>Stop Loss</t>
  </si>
  <si>
    <t>ผลลัพธ์
TP / SL (จุด)</t>
  </si>
  <si>
    <t>เงินทุนตั้งต้น</t>
  </si>
  <si>
    <t>กำไรรวม
ทั้งหมด</t>
  </si>
  <si>
    <t>ถอนกำไร
รวม</t>
  </si>
  <si>
    <t>ตั้งเป้าเก็บกำไร</t>
  </si>
  <si>
    <t>PLAN 2569</t>
  </si>
  <si>
    <t>Month 1</t>
  </si>
  <si>
    <t>Day</t>
  </si>
  <si>
    <t>Lot Size</t>
  </si>
  <si>
    <t>Target (%)</t>
  </si>
  <si>
    <t>รับความเสี่ยง</t>
  </si>
  <si>
    <t>แพ้ติดกัน(ไม้)</t>
  </si>
  <si>
    <t>แพ้สูงสุด(จุด)</t>
  </si>
  <si>
    <t>TP / วัน</t>
  </si>
  <si>
    <t>SL / วัน</t>
  </si>
  <si>
    <t>Target obtained (%)</t>
  </si>
  <si>
    <t>กำไร/ขาดทุน</t>
  </si>
  <si>
    <t>ถอน</t>
  </si>
  <si>
    <t>Balance</t>
  </si>
  <si>
    <t>Monthend</t>
  </si>
  <si>
    <r>
      <rPr>
        <rFont val="Verdana"/>
        <color theme="1"/>
        <sz val="12.0"/>
      </rPr>
      <t>Total Month</t>
    </r>
    <r>
      <rPr>
        <rFont val="Verdana"/>
        <color theme="1"/>
        <sz val="15.0"/>
      </rPr>
      <t xml:space="preserve"> :</t>
    </r>
  </si>
  <si>
    <t>Month 2</t>
  </si>
  <si>
    <t>Month 3</t>
  </si>
  <si>
    <t>Month 4</t>
  </si>
  <si>
    <t>Month 5</t>
  </si>
  <si>
    <t>Month 6</t>
  </si>
  <si>
    <t>Month 7</t>
  </si>
  <si>
    <t>Month 8</t>
  </si>
  <si>
    <t>Month 9</t>
  </si>
  <si>
    <t>Month 10</t>
  </si>
  <si>
    <t>Month 11</t>
  </si>
  <si>
    <t>Month 12</t>
  </si>
  <si>
    <t>PLAN 2570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</si>
</sst>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0 จุด"/>
    <numFmt numFmtId="166" formatCode="#,##0.00[$ %]"/>
    <numFmt numFmtId="167" formatCode="#,##0[$ USD]"/>
    <numFmt numFmtId="168" formatCode="#,##0.00[$ USD]"/>
    <numFmt numFmtId="169" formatCode="dd&quot;/&quot;mm&quot;/&quot;yy"/>
    <numFmt numFmtId="170" formatCode="-#,##0.00"/>
  </numFmts>
  <fonts count="24">
    <font>
      <sz val="10.0"/>
      <color rgb="FF000000"/>
      <name val="Verdana"/>
      <scheme val="minor"/>
    </font>
    <font>
      <sz val="12.0"/>
      <color theme="1"/>
      <name val="Verdana"/>
      <scheme val="minor"/>
    </font>
    <font>
      <sz val="12.0"/>
      <color rgb="FFFFFFFF"/>
      <name val="Verdana"/>
      <scheme val="minor"/>
    </font>
    <font>
      <sz val="13.0"/>
      <color theme="1"/>
      <name val="Verdana"/>
      <scheme val="minor"/>
    </font>
    <font>
      <sz val="12.0"/>
      <color rgb="FFFFFFFF"/>
      <name val="Roboto"/>
    </font>
    <font>
      <sz val="12.0"/>
      <color rgb="FF00FFFF"/>
      <name val="Roboto"/>
    </font>
    <font>
      <sz val="12.0"/>
      <color rgb="FF980000"/>
      <name val="Roboto"/>
    </font>
    <font>
      <sz val="14.0"/>
      <color theme="1"/>
      <name val="Verdana"/>
      <scheme val="minor"/>
    </font>
    <font>
      <sz val="14.0"/>
      <color rgb="FFFFFFFF"/>
      <name val="Verdana"/>
      <scheme val="minor"/>
    </font>
    <font>
      <sz val="12.0"/>
      <color rgb="FF434343"/>
      <name val="Verdana"/>
      <scheme val="minor"/>
    </font>
    <font>
      <b/>
      <sz val="12.0"/>
      <color theme="1"/>
      <name val="Verdana"/>
      <scheme val="minor"/>
    </font>
    <font>
      <b/>
      <sz val="11.0"/>
      <color theme="1"/>
      <name val="Verdana"/>
      <scheme val="minor"/>
    </font>
    <font>
      <b/>
      <sz val="14.0"/>
      <color theme="1"/>
      <name val="Verdana"/>
      <scheme val="minor"/>
    </font>
    <font>
      <b/>
      <sz val="14.0"/>
      <color theme="1"/>
      <name val="Arial"/>
    </font>
    <font>
      <b/>
      <sz val="14.0"/>
      <color rgb="FF0000FF"/>
      <name val="Arial"/>
    </font>
    <font>
      <b/>
      <sz val="14.0"/>
      <color rgb="FF980000"/>
      <name val="Arial"/>
    </font>
    <font>
      <sz val="12.0"/>
      <color rgb="FF980000"/>
      <name val="Verdana"/>
      <scheme val="minor"/>
    </font>
    <font>
      <sz val="12.0"/>
      <color rgb="FF1155CC"/>
      <name val="Verdana"/>
      <scheme val="minor"/>
    </font>
    <font>
      <sz val="16.0"/>
      <color rgb="FFFFFFFF"/>
      <name val="Verdana"/>
      <scheme val="minor"/>
    </font>
    <font>
      <sz val="14.0"/>
      <color rgb="FF00FF00"/>
      <name val="Verdana"/>
      <scheme val="minor"/>
    </font>
    <font/>
    <font>
      <color theme="1"/>
      <name val="Verdana"/>
      <scheme val="minor"/>
    </font>
    <font>
      <sz val="14.0"/>
      <color rgb="FFEA9999"/>
      <name val="Verdana"/>
      <scheme val="minor"/>
    </font>
    <font>
      <sz val="14.0"/>
      <color theme="1"/>
      <name val="Arial"/>
    </font>
  </fonts>
  <fills count="18">
    <fill>
      <patternFill patternType="none"/>
    </fill>
    <fill>
      <patternFill patternType="lightGray"/>
    </fill>
    <fill>
      <patternFill patternType="solid">
        <fgColor rgb="FF535FC1"/>
        <bgColor rgb="FF535FC1"/>
      </patternFill>
    </fill>
    <fill>
      <patternFill patternType="solid">
        <fgColor rgb="FF000000"/>
        <bgColor rgb="FF000000"/>
      </patternFill>
    </fill>
    <fill>
      <patternFill patternType="solid">
        <fgColor rgb="FF38761D"/>
        <bgColor rgb="FF38761D"/>
      </patternFill>
    </fill>
    <fill>
      <patternFill patternType="solid">
        <fgColor rgb="FFCC0000"/>
        <bgColor rgb="FFCC0000"/>
      </patternFill>
    </fill>
    <fill>
      <patternFill patternType="solid">
        <fgColor theme="7"/>
        <bgColor theme="7"/>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1155CC"/>
        <bgColor rgb="FF1155CC"/>
      </patternFill>
    </fill>
    <fill>
      <patternFill patternType="solid">
        <fgColor rgb="FF4A86E8"/>
        <bgColor rgb="FF4A86E8"/>
      </patternFill>
    </fill>
    <fill>
      <patternFill patternType="solid">
        <fgColor rgb="FF6D9EEB"/>
        <bgColor rgb="FF6D9EEB"/>
      </patternFill>
    </fill>
    <fill>
      <patternFill patternType="solid">
        <fgColor rgb="FFE06666"/>
        <bgColor rgb="FFE06666"/>
      </patternFill>
    </fill>
    <fill>
      <patternFill patternType="solid">
        <fgColor rgb="FF999999"/>
        <bgColor rgb="FF999999"/>
      </patternFill>
    </fill>
    <fill>
      <patternFill patternType="solid">
        <fgColor rgb="FFFF9900"/>
        <bgColor rgb="FFFF9900"/>
      </patternFill>
    </fill>
    <fill>
      <patternFill patternType="solid">
        <fgColor rgb="FFFFD966"/>
        <bgColor rgb="FFFFD966"/>
      </patternFill>
    </fill>
  </fills>
  <borders count="10">
    <border/>
    <border>
      <top style="thin">
        <color rgb="FF666666"/>
      </top>
      <bottom style="thin">
        <color rgb="FF666666"/>
      </bottom>
    </border>
    <border>
      <bottom style="thin">
        <color rgb="FF666666"/>
      </bottom>
    </border>
    <border>
      <top style="thin">
        <color rgb="FF666666"/>
      </top>
    </border>
    <border>
      <right style="thin">
        <color rgb="FF999999"/>
      </right>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2" fontId="4" numFmtId="0" xfId="0" applyAlignment="1" applyFill="1" applyFont="1">
      <alignment horizontal="center" readingOrder="0" shrinkToFit="0" vertical="center" wrapText="1"/>
    </xf>
    <xf borderId="0" fillId="2"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3" fontId="7" numFmtId="0" xfId="0" applyAlignment="1" applyFill="1" applyFont="1">
      <alignment horizontal="center" vertical="center"/>
    </xf>
    <xf borderId="0" fillId="4" fontId="8" numFmtId="0" xfId="0" applyAlignment="1" applyFill="1" applyFont="1">
      <alignment horizontal="center" readingOrder="0" vertical="center"/>
    </xf>
    <xf borderId="0" fillId="5" fontId="8" numFmtId="0" xfId="0" applyAlignment="1" applyFill="1" applyFont="1">
      <alignment horizontal="center" readingOrder="0" vertical="center"/>
    </xf>
    <xf borderId="0" fillId="6" fontId="8" numFmtId="0" xfId="0" applyAlignment="1" applyFill="1" applyFont="1">
      <alignment horizontal="center" readingOrder="0" vertical="center"/>
    </xf>
    <xf borderId="0" fillId="7" fontId="8" numFmtId="0" xfId="0" applyAlignment="1" applyFill="1" applyFont="1">
      <alignment horizontal="center" readingOrder="0" vertical="center"/>
    </xf>
    <xf borderId="1" fillId="8" fontId="1" numFmtId="164" xfId="0" applyAlignment="1" applyBorder="1" applyFill="1" applyFont="1" applyNumberFormat="1">
      <alignment horizontal="center" readingOrder="0" shrinkToFit="0" vertical="center" wrapText="0"/>
    </xf>
    <xf borderId="1" fillId="8" fontId="9" numFmtId="0" xfId="0" applyAlignment="1" applyBorder="1" applyFont="1">
      <alignment horizontal="center" readingOrder="0" shrinkToFit="0" vertical="center" wrapText="0"/>
    </xf>
    <xf borderId="1" fillId="8" fontId="1" numFmtId="0" xfId="0" applyAlignment="1" applyBorder="1" applyFont="1">
      <alignment horizontal="center" readingOrder="0" shrinkToFit="0" vertical="center" wrapText="0"/>
    </xf>
    <xf borderId="1" fillId="8" fontId="10" numFmtId="0" xfId="0" applyAlignment="1" applyBorder="1" applyFont="1">
      <alignment horizontal="center" readingOrder="0" shrinkToFit="0" vertical="center" wrapText="0"/>
    </xf>
    <xf borderId="1" fillId="8" fontId="3" numFmtId="0" xfId="0" applyAlignment="1" applyBorder="1" applyFont="1">
      <alignment readingOrder="0" shrinkToFit="0" vertical="center" wrapText="1"/>
    </xf>
    <xf borderId="1" fillId="8" fontId="11" numFmtId="0" xfId="0" applyAlignment="1" applyBorder="1" applyFont="1">
      <alignment readingOrder="0" shrinkToFit="0" vertical="center" wrapText="0"/>
    </xf>
    <xf borderId="1" fillId="8" fontId="12" numFmtId="2" xfId="0" applyAlignment="1" applyBorder="1" applyFont="1" applyNumberFormat="1">
      <alignment horizontal="center" readingOrder="0" shrinkToFit="0" vertical="center" wrapText="0"/>
    </xf>
    <xf borderId="1" fillId="9" fontId="13" numFmtId="165" xfId="0" applyAlignment="1" applyBorder="1" applyFill="1" applyFont="1" applyNumberFormat="1">
      <alignment horizontal="center" readingOrder="0" shrinkToFit="0" vertical="center" wrapText="0"/>
    </xf>
    <xf borderId="1" fillId="8" fontId="14" numFmtId="0" xfId="0" applyAlignment="1" applyBorder="1" applyFont="1">
      <alignment horizontal="center" readingOrder="0" shrinkToFit="0" vertical="center" wrapText="0"/>
    </xf>
    <xf borderId="1" fillId="9" fontId="15" numFmtId="0" xfId="0" applyAlignment="1" applyBorder="1" applyFont="1">
      <alignment horizontal="center" readingOrder="0" shrinkToFit="0" vertical="center" wrapText="0"/>
    </xf>
    <xf borderId="2" fillId="8" fontId="16" numFmtId="49" xfId="0" applyAlignment="1" applyBorder="1" applyFont="1" applyNumberFormat="1">
      <alignment horizontal="left" readingOrder="0" shrinkToFit="0" vertical="center" wrapText="1"/>
    </xf>
    <xf borderId="1" fillId="9" fontId="17" numFmtId="49" xfId="0" applyAlignment="1" applyBorder="1" applyFont="1" applyNumberFormat="1">
      <alignment readingOrder="0" shrinkToFit="0" vertical="center" wrapText="0"/>
    </xf>
    <xf borderId="1" fillId="10" fontId="16" numFmtId="49" xfId="0" applyAlignment="1" applyBorder="1" applyFill="1" applyFont="1" applyNumberFormat="1">
      <alignment horizontal="left" readingOrder="0" shrinkToFit="0" vertical="center" wrapText="1"/>
    </xf>
    <xf borderId="0" fillId="4" fontId="8" numFmtId="166" xfId="0" applyAlignment="1" applyFont="1" applyNumberFormat="1">
      <alignment horizontal="center" readingOrder="0" vertical="center"/>
    </xf>
    <xf borderId="0" fillId="5" fontId="8" numFmtId="166" xfId="0" applyAlignment="1" applyFont="1" applyNumberFormat="1">
      <alignment horizontal="center" readingOrder="0" vertical="center"/>
    </xf>
    <xf borderId="0" fillId="7" fontId="18" numFmtId="165" xfId="0" applyAlignment="1" applyFont="1" applyNumberFormat="1">
      <alignment horizontal="center" vertical="center"/>
    </xf>
    <xf borderId="1" fillId="8" fontId="10" numFmtId="0" xfId="0" applyAlignment="1" applyBorder="1" applyFont="1">
      <alignment horizontal="center" readingOrder="0" shrinkToFit="0" vertical="center" wrapText="0"/>
    </xf>
    <xf borderId="1" fillId="8" fontId="11" numFmtId="0" xfId="0" applyAlignment="1" applyBorder="1" applyFont="1">
      <alignment readingOrder="0" shrinkToFit="0" vertical="center" wrapText="0"/>
    </xf>
    <xf borderId="1" fillId="9" fontId="13" numFmtId="165" xfId="0" applyAlignment="1" applyBorder="1" applyFont="1" applyNumberFormat="1">
      <alignment horizontal="center" shrinkToFit="0" vertical="center" wrapText="0"/>
    </xf>
    <xf borderId="1" fillId="9" fontId="15" numFmtId="0" xfId="0" applyAlignment="1" applyBorder="1" applyFont="1">
      <alignment horizontal="center" shrinkToFit="0" vertical="center" wrapText="0"/>
    </xf>
    <xf borderId="1" fillId="8" fontId="16" numFmtId="49" xfId="0" applyAlignment="1" applyBorder="1" applyFont="1" applyNumberFormat="1">
      <alignment horizontal="left" readingOrder="0" shrinkToFit="0" vertical="center" wrapText="1"/>
    </xf>
    <xf borderId="3" fillId="8" fontId="1" numFmtId="164" xfId="0" applyAlignment="1" applyBorder="1" applyFont="1" applyNumberFormat="1">
      <alignment horizontal="center" readingOrder="0" shrinkToFit="0" vertical="center" wrapText="0"/>
    </xf>
    <xf borderId="3" fillId="8" fontId="9" numFmtId="0" xfId="0" applyAlignment="1" applyBorder="1" applyFont="1">
      <alignment horizontal="center" readingOrder="0" shrinkToFit="0" vertical="center" wrapText="0"/>
    </xf>
    <xf borderId="3" fillId="8" fontId="1" numFmtId="0" xfId="0" applyAlignment="1" applyBorder="1" applyFont="1">
      <alignment horizontal="center" readingOrder="0" shrinkToFit="0" vertical="center" wrapText="0"/>
    </xf>
    <xf borderId="3" fillId="8" fontId="10" numFmtId="0" xfId="0" applyAlignment="1" applyBorder="1" applyFont="1">
      <alignment horizontal="center" readingOrder="0" shrinkToFit="0" vertical="center" wrapText="0"/>
    </xf>
    <xf borderId="3" fillId="8" fontId="3" numFmtId="0" xfId="0" applyAlignment="1" applyBorder="1" applyFont="1">
      <alignment readingOrder="0" shrinkToFit="0" vertical="center" wrapText="1"/>
    </xf>
    <xf borderId="3" fillId="8" fontId="11" numFmtId="0" xfId="0" applyAlignment="1" applyBorder="1" applyFont="1">
      <alignment readingOrder="0" shrinkToFit="0" vertical="center" wrapText="0"/>
    </xf>
    <xf borderId="3" fillId="8" fontId="12" numFmtId="2" xfId="0" applyAlignment="1" applyBorder="1" applyFont="1" applyNumberFormat="1">
      <alignment horizontal="center" readingOrder="0" shrinkToFit="0" vertical="center" wrapText="0"/>
    </xf>
    <xf borderId="3" fillId="9" fontId="13" numFmtId="165" xfId="0" applyAlignment="1" applyBorder="1" applyFont="1" applyNumberFormat="1">
      <alignment horizontal="center" shrinkToFit="0" vertical="center" wrapText="0"/>
    </xf>
    <xf borderId="3" fillId="9" fontId="15" numFmtId="0" xfId="0" applyAlignment="1" applyBorder="1" applyFont="1">
      <alignment horizontal="center" shrinkToFit="0" vertical="center" wrapText="0"/>
    </xf>
    <xf borderId="3" fillId="8" fontId="16" numFmtId="49" xfId="0" applyAlignment="1" applyBorder="1" applyFont="1" applyNumberFormat="1">
      <alignment horizontal="left" readingOrder="0" shrinkToFit="0" vertical="center" wrapText="1"/>
    </xf>
    <xf borderId="3" fillId="10" fontId="16" numFmtId="49" xfId="0" applyAlignment="1" applyBorder="1" applyFont="1" applyNumberFormat="1">
      <alignment horizontal="left" readingOrder="0" shrinkToFit="0" vertical="center" wrapText="1"/>
    </xf>
    <xf borderId="0" fillId="8" fontId="1" numFmtId="164" xfId="0" applyAlignment="1" applyFont="1" applyNumberFormat="1">
      <alignment horizontal="center" readingOrder="0" shrinkToFit="0" vertical="center" wrapText="0"/>
    </xf>
    <xf borderId="0" fillId="8" fontId="9" numFmtId="0" xfId="0" applyAlignment="1" applyFont="1">
      <alignment horizontal="center" readingOrder="0" shrinkToFit="0" vertical="center" wrapText="0"/>
    </xf>
    <xf borderId="0" fillId="8" fontId="1" numFmtId="0" xfId="0" applyAlignment="1" applyFont="1">
      <alignment horizontal="center" readingOrder="0" shrinkToFit="0" vertical="center" wrapText="0"/>
    </xf>
    <xf borderId="0" fillId="8" fontId="10" numFmtId="0" xfId="0" applyAlignment="1" applyFont="1">
      <alignment horizontal="center" readingOrder="0" shrinkToFit="0" vertical="center" wrapText="0"/>
    </xf>
    <xf borderId="0" fillId="8" fontId="3" numFmtId="0" xfId="0" applyAlignment="1" applyFont="1">
      <alignment readingOrder="0" shrinkToFit="0" vertical="center" wrapText="1"/>
    </xf>
    <xf borderId="0" fillId="8" fontId="11" numFmtId="0" xfId="0" applyAlignment="1" applyFont="1">
      <alignment readingOrder="0" shrinkToFit="0" vertical="center" wrapText="0"/>
    </xf>
    <xf borderId="0" fillId="8" fontId="12" numFmtId="2" xfId="0" applyAlignment="1" applyFont="1" applyNumberFormat="1">
      <alignment horizontal="center" readingOrder="0" shrinkToFit="0" vertical="center" wrapText="0"/>
    </xf>
    <xf borderId="0" fillId="9" fontId="13" numFmtId="165" xfId="0" applyAlignment="1" applyFont="1" applyNumberFormat="1">
      <alignment horizontal="center" shrinkToFit="0" vertical="center" wrapText="0"/>
    </xf>
    <xf borderId="0" fillId="8" fontId="14" numFmtId="0" xfId="0" applyAlignment="1" applyFont="1">
      <alignment horizontal="center" readingOrder="0" shrinkToFit="0" vertical="center" wrapText="0"/>
    </xf>
    <xf borderId="0" fillId="9" fontId="15" numFmtId="0" xfId="0" applyAlignment="1" applyFont="1">
      <alignment horizontal="center" shrinkToFit="0" vertical="center" wrapText="0"/>
    </xf>
    <xf borderId="0" fillId="8" fontId="16" numFmtId="49" xfId="0" applyAlignment="1" applyFont="1" applyNumberFormat="1">
      <alignment horizontal="left" readingOrder="0" shrinkToFit="0" vertical="center" wrapText="1"/>
    </xf>
    <xf borderId="0" fillId="9" fontId="17" numFmtId="49" xfId="0" applyAlignment="1" applyFont="1" applyNumberFormat="1">
      <alignment readingOrder="0" shrinkToFit="0" vertical="center" wrapText="0"/>
    </xf>
    <xf borderId="0" fillId="10" fontId="16" numFmtId="49" xfId="0" applyAlignment="1" applyFont="1" applyNumberFormat="1">
      <alignment horizontal="left" readingOrder="0" shrinkToFit="0" vertical="center" wrapText="1"/>
    </xf>
    <xf borderId="0" fillId="11" fontId="8" numFmtId="0" xfId="0" applyAlignment="1" applyFill="1" applyFont="1">
      <alignment horizontal="center" readingOrder="0" vertical="center"/>
    </xf>
    <xf borderId="0" fillId="12" fontId="19" numFmtId="167" xfId="0" applyAlignment="1" applyFill="1" applyFont="1" applyNumberFormat="1">
      <alignment horizontal="right" readingOrder="0" vertical="center"/>
    </xf>
    <xf borderId="0" fillId="13" fontId="19" numFmtId="166" xfId="0" applyAlignment="1" applyFill="1" applyFont="1" applyNumberFormat="1">
      <alignment horizontal="center" readingOrder="0" vertical="center"/>
    </xf>
    <xf borderId="0" fillId="13" fontId="19" numFmtId="168" xfId="0" applyAlignment="1" applyFont="1" applyNumberFormat="1">
      <alignment horizontal="center" readingOrder="0" vertical="center"/>
    </xf>
    <xf borderId="4" fillId="0" fontId="20" numFmtId="0" xfId="0" applyBorder="1" applyFont="1"/>
    <xf borderId="5" fillId="5" fontId="8" numFmtId="0" xfId="0" applyAlignment="1" applyBorder="1" applyFont="1">
      <alignment horizontal="center" readingOrder="0" vertical="center"/>
    </xf>
    <xf borderId="5" fillId="14" fontId="8" numFmtId="167" xfId="0" applyAlignment="1" applyBorder="1" applyFill="1" applyFont="1" applyNumberFormat="1">
      <alignment horizontal="center" readingOrder="0" vertical="center"/>
    </xf>
    <xf borderId="6" fillId="15" fontId="7" numFmtId="0" xfId="0" applyAlignment="1" applyBorder="1" applyFill="1" applyFont="1">
      <alignment horizontal="center" readingOrder="0" vertical="center"/>
    </xf>
    <xf borderId="6" fillId="15" fontId="7" numFmtId="0" xfId="0" applyAlignment="1" applyBorder="1" applyFont="1">
      <alignment horizontal="center" vertical="center"/>
    </xf>
    <xf borderId="6" fillId="15" fontId="21" numFmtId="0" xfId="0" applyBorder="1" applyFont="1"/>
    <xf borderId="0" fillId="16" fontId="7" numFmtId="167" xfId="0" applyAlignment="1" applyFill="1" applyFont="1" applyNumberFormat="1">
      <alignment horizontal="right" readingOrder="0" vertical="center"/>
    </xf>
    <xf borderId="7" fillId="0" fontId="20" numFmtId="0" xfId="0" applyBorder="1" applyFont="1"/>
    <xf borderId="5" fillId="15" fontId="7" numFmtId="0" xfId="0" applyAlignment="1" applyBorder="1" applyFont="1">
      <alignment horizontal="center" readingOrder="0" vertical="center"/>
    </xf>
    <xf borderId="8" fillId="15" fontId="7" numFmtId="0" xfId="0" applyAlignment="1" applyBorder="1" applyFont="1">
      <alignment horizontal="center" vertical="center"/>
    </xf>
    <xf borderId="0" fillId="11" fontId="8" numFmtId="169" xfId="0" applyAlignment="1" applyFont="1" applyNumberFormat="1">
      <alignment horizontal="center" readingOrder="0" vertical="center"/>
    </xf>
    <xf borderId="0" fillId="11" fontId="22" numFmtId="0" xfId="0" applyAlignment="1" applyFont="1">
      <alignment horizontal="center" readingOrder="0" vertical="center"/>
    </xf>
    <xf borderId="0" fillId="11" fontId="19" numFmtId="0" xfId="0" applyAlignment="1" applyFont="1">
      <alignment horizontal="center" readingOrder="0" vertical="center"/>
    </xf>
    <xf borderId="0" fillId="11" fontId="8" numFmtId="4" xfId="0" applyAlignment="1" applyFont="1" applyNumberFormat="1">
      <alignment horizontal="center" readingOrder="0" vertical="center"/>
    </xf>
    <xf borderId="0" fillId="12" fontId="8" numFmtId="9" xfId="0" applyAlignment="1" applyFont="1" applyNumberFormat="1">
      <alignment horizontal="center" readingOrder="0" vertical="center"/>
    </xf>
    <xf borderId="0" fillId="12" fontId="22" numFmtId="9" xfId="0" applyAlignment="1" applyFont="1" applyNumberFormat="1">
      <alignment horizontal="center" readingOrder="0" vertical="center"/>
    </xf>
    <xf borderId="0" fillId="12" fontId="22" numFmtId="3" xfId="0" applyAlignment="1" applyFont="1" applyNumberFormat="1">
      <alignment horizontal="center" readingOrder="0" vertical="center"/>
    </xf>
    <xf borderId="0" fillId="11" fontId="22" numFmtId="3" xfId="0" applyAlignment="1" applyFont="1" applyNumberFormat="1">
      <alignment horizontal="center" readingOrder="0" vertical="center"/>
    </xf>
    <xf borderId="0" fillId="11" fontId="19" numFmtId="4" xfId="0" applyAlignment="1" applyFont="1" applyNumberFormat="1">
      <alignment horizontal="center" readingOrder="0" vertical="center"/>
    </xf>
    <xf borderId="0" fillId="11" fontId="22" numFmtId="170" xfId="0" applyAlignment="1" applyFont="1" applyNumberFormat="1">
      <alignment horizontal="center" readingOrder="0" vertical="center"/>
    </xf>
    <xf borderId="0" fillId="11" fontId="8" numFmtId="166" xfId="0" applyAlignment="1" applyFont="1" applyNumberFormat="1">
      <alignment horizontal="center" vertical="center"/>
    </xf>
    <xf borderId="0" fillId="15" fontId="7" numFmtId="4" xfId="0" applyAlignment="1" applyFont="1" applyNumberFormat="1">
      <alignment horizontal="center" readingOrder="0" vertical="center"/>
    </xf>
    <xf borderId="0" fillId="15" fontId="7" numFmtId="0" xfId="0" applyAlignment="1" applyFont="1">
      <alignment horizontal="center" readingOrder="0" vertical="center"/>
    </xf>
    <xf borderId="0" fillId="12" fontId="8" numFmtId="4" xfId="0" applyAlignment="1" applyFont="1" applyNumberFormat="1">
      <alignment horizontal="center" vertical="center"/>
    </xf>
    <xf borderId="0" fillId="17" fontId="23" numFmtId="169" xfId="0" applyAlignment="1" applyFill="1" applyFont="1" applyNumberFormat="1">
      <alignment horizontal="center" readingOrder="0"/>
    </xf>
    <xf borderId="0" fillId="17" fontId="7" numFmtId="9" xfId="0" applyAlignment="1" applyFont="1" applyNumberFormat="1">
      <alignment horizontal="center" vertical="center"/>
    </xf>
    <xf borderId="0" fillId="17" fontId="7" numFmtId="0" xfId="0" applyAlignment="1" applyFont="1">
      <alignment horizontal="center" vertical="center"/>
    </xf>
    <xf borderId="0" fillId="17" fontId="7" numFmtId="166" xfId="0" applyAlignment="1" applyFont="1" applyNumberFormat="1">
      <alignment horizontal="center" vertical="center"/>
    </xf>
    <xf borderId="0" fillId="17" fontId="7" numFmtId="4" xfId="0" applyAlignment="1" applyFont="1" applyNumberFormat="1">
      <alignment horizontal="center" vertical="center"/>
    </xf>
    <xf borderId="7" fillId="15" fontId="23" numFmtId="169" xfId="0" applyAlignment="1" applyBorder="1" applyFont="1" applyNumberFormat="1">
      <alignment horizontal="center" readingOrder="0" vertical="center"/>
    </xf>
    <xf borderId="7" fillId="15" fontId="23" numFmtId="0" xfId="0" applyAlignment="1" applyBorder="1" applyFont="1">
      <alignment horizontal="center" readingOrder="0" vertical="center"/>
    </xf>
    <xf borderId="7" fillId="15" fontId="7" numFmtId="0" xfId="0" applyAlignment="1" applyBorder="1" applyFont="1">
      <alignment horizontal="center" vertical="center"/>
    </xf>
    <xf borderId="7" fillId="15" fontId="1" numFmtId="0" xfId="0" applyAlignment="1" applyBorder="1" applyFont="1">
      <alignment horizontal="center" readingOrder="0" vertical="center"/>
    </xf>
    <xf borderId="9" fillId="15" fontId="7" numFmtId="0" xfId="0" applyAlignment="1" applyBorder="1" applyFont="1">
      <alignment horizontal="center" vertical="center"/>
    </xf>
    <xf borderId="7" fillId="15" fontId="7" numFmtId="169" xfId="0" applyAlignment="1" applyBorder="1" applyFont="1" applyNumberFormat="1">
      <alignment horizontal="center" vertical="center"/>
    </xf>
    <xf borderId="9" fillId="15" fontId="7" numFmtId="0" xfId="0" applyAlignment="1" applyBorder="1" applyFont="1">
      <alignment horizontal="center" readingOrder="0" vertical="center"/>
    </xf>
    <xf borderId="0" fillId="12" fontId="19" numFmtId="167" xfId="0" applyAlignment="1" applyFont="1" applyNumberFormat="1">
      <alignment horizontal="right" readingOrder="0" vertical="center"/>
    </xf>
    <xf borderId="0" fillId="13" fontId="19" numFmtId="167" xfId="0" applyAlignment="1" applyFont="1" applyNumberFormat="1">
      <alignment horizontal="center" readingOrder="0" vertical="center"/>
    </xf>
    <xf borderId="0" fillId="16" fontId="7" numFmtId="167" xfId="0" applyAlignment="1" applyFont="1" applyNumberFormat="1">
      <alignment horizontal="right" readingOrder="0" vertical="center"/>
    </xf>
    <xf borderId="0" fillId="11" fontId="8" numFmtId="4" xfId="0" applyAlignment="1" applyFont="1" applyNumberFormat="1">
      <alignment horizontal="center" vertical="center"/>
    </xf>
  </cellXfs>
  <cellStyles count="1">
    <cellStyle xfId="0" name="Normal" builtinId="0"/>
  </cellStyles>
  <dxfs count="12">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border>
        <left style="thin">
          <color rgb="FF535FC1"/>
        </left>
        <right style="thin">
          <color rgb="FF535FC1"/>
        </right>
        <top style="thin">
          <color rgb="FF535FC1"/>
        </top>
        <bottom style="thin">
          <color rgb="FF535FC1"/>
        </bottom>
      </border>
    </dxf>
    <dxf>
      <font/>
      <fill>
        <patternFill patternType="solid">
          <fgColor rgb="FF6AA84F"/>
          <bgColor rgb="FF6AA84F"/>
        </patternFill>
      </fill>
      <border/>
    </dxf>
    <dxf>
      <font/>
      <fill>
        <patternFill patternType="solid">
          <fgColor rgb="FFE06666"/>
          <bgColor rgb="FFE06666"/>
        </patternFill>
      </fill>
      <border/>
    </dxf>
    <dxf>
      <font/>
      <fill>
        <patternFill patternType="none"/>
      </fill>
      <border/>
    </dxf>
    <dxf>
      <font/>
      <fill>
        <patternFill patternType="solid">
          <fgColor rgb="FF38761D"/>
          <bgColor rgb="FF38761D"/>
        </patternFill>
      </fill>
      <border/>
    </dxf>
    <dxf>
      <font/>
      <fill>
        <patternFill patternType="solid">
          <fgColor rgb="FF93C47D"/>
          <bgColor rgb="FF93C47D"/>
        </patternFill>
      </fill>
      <border/>
    </dxf>
    <dxf>
      <font/>
      <fill>
        <patternFill patternType="solid">
          <fgColor rgb="FF990000"/>
          <bgColor rgb="FF990000"/>
        </patternFill>
      </fill>
      <border/>
    </dxf>
    <dxf>
      <font/>
      <fill>
        <patternFill patternType="solid">
          <fgColor rgb="FFCC0000"/>
          <bgColor rgb="FFCC0000"/>
        </patternFill>
      </fill>
      <border/>
    </dxf>
    <dxf>
      <font/>
      <fill>
        <patternFill patternType="solid">
          <fgColor rgb="FFB7E1CD"/>
          <bgColor rgb="FFB7E1CD"/>
        </patternFill>
      </fill>
      <border/>
    </dxf>
  </dxfs>
  <tableStyles count="1">
    <tableStyle count="4" pivot="0" name="DayTrader-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50" displayName="DayTrader" name="DayTrader" id="1">
  <tableColumns count="16">
    <tableColumn name="วันที่เปิด" id="1"/>
    <tableColumn name="ช่วงเวลา" id="2"/>
    <tableColumn name="คู่เงิน" id="3"/>
    <tableColumn name="ประเภทการเข้า" id="4"/>
    <tableColumn name="เหตุผลซัพพอร์ตออเดอร์_x000a_แท่งเทียน" id="5"/>
    <tableColumn name="เหตุผลซัพพอร์ตออเดอร์_x000a_Indicator" id="6"/>
    <tableColumn name="ผลลัพธ์" id="7"/>
    <tableColumn name="ราคาที่เข้า" id="8"/>
    <tableColumn name="ผลลัพธ์_x000a_(จุด)" id="9"/>
    <tableColumn name="TP(จุด)_x000a_ที่ตั้งใว้" id="10"/>
    <tableColumn name="เหตุผล Support จุดที่ปิด _x000a_Order TP" id="11"/>
    <tableColumn name="SL(จุด)_x000a_ที่ตั้งใว้" id="12"/>
    <tableColumn name="เหตุผล Support จุดที่ปิด _x000a_Order SL" id="13"/>
    <tableColumn name="ความเสี่ยง" id="14"/>
    <tableColumn name="บันทึกความรู้สึก" id="15"/>
    <tableColumn name="หมายเหตุ" id="16"/>
  </tableColumns>
  <tableStyleInfo name="DayTrad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424242"/>
      </a:dk1>
      <a:lt1>
        <a:srgbClr val="FFFFFF"/>
      </a:lt1>
      <a:dk2>
        <a:srgbClr val="424242"/>
      </a:dk2>
      <a:lt2>
        <a:srgbClr val="FFFFFF"/>
      </a:lt2>
      <a:accent1>
        <a:srgbClr val="C0791B"/>
      </a:accent1>
      <a:accent2>
        <a:srgbClr val="0B6374"/>
      </a:accent2>
      <a:accent3>
        <a:srgbClr val="FD5B58"/>
      </a:accent3>
      <a:accent4>
        <a:srgbClr val="27278B"/>
      </a:accent4>
      <a:accent5>
        <a:srgbClr val="8DD8D3"/>
      </a:accent5>
      <a:accent6>
        <a:srgbClr val="D7E6A3"/>
      </a:accent6>
      <a:hlink>
        <a:srgbClr val="27278B"/>
      </a:hlink>
      <a:folHlink>
        <a:srgbClr val="27278B"/>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9.78"/>
    <col customWidth="1" min="2" max="2" width="11.67"/>
    <col customWidth="1" min="3" max="3" width="12.33"/>
    <col customWidth="1" min="4" max="4" width="13.11"/>
    <col customWidth="1" min="5" max="5" width="33.22"/>
    <col customWidth="1" min="6" max="6" width="31.56"/>
    <col customWidth="1" min="7" max="7" width="13.78"/>
    <col customWidth="1" min="8" max="8" width="11.78"/>
    <col customWidth="1" min="9" max="9" width="13.67"/>
    <col customWidth="1" min="10" max="10" width="10.44"/>
    <col customWidth="1" min="11" max="11" width="28.56"/>
    <col customWidth="1" min="12" max="12" width="10.67"/>
    <col customWidth="1" min="13" max="13" width="33.33"/>
    <col customWidth="1" min="14" max="14" width="30.67"/>
    <col customWidth="1" min="15" max="15" width="26.44"/>
    <col customWidth="1" min="16" max="16" width="23.22"/>
    <col customWidth="1" min="17" max="17" width="1.44"/>
    <col customWidth="1" min="18" max="19" width="12.22"/>
    <col customWidth="1" min="20" max="20" width="12.78"/>
    <col customWidth="1" min="21" max="21" width="10.78"/>
    <col customWidth="1" min="22" max="22" width="10.33"/>
    <col customWidth="1" min="23" max="23" width="10.56"/>
    <col customWidth="1" min="24" max="24" width="16.22"/>
  </cols>
  <sheetData>
    <row r="1" ht="22.5" customHeight="1">
      <c r="A1" s="1" t="s">
        <v>0</v>
      </c>
      <c r="B1" s="2" t="s">
        <v>1</v>
      </c>
      <c r="C1" s="1" t="s">
        <v>2</v>
      </c>
      <c r="D1" s="1" t="s">
        <v>3</v>
      </c>
      <c r="E1" s="3" t="s">
        <v>4</v>
      </c>
      <c r="F1" s="3" t="s">
        <v>5</v>
      </c>
      <c r="G1" s="1" t="s">
        <v>6</v>
      </c>
      <c r="H1" s="1" t="s">
        <v>7</v>
      </c>
      <c r="I1" s="4" t="s">
        <v>8</v>
      </c>
      <c r="J1" s="5" t="s">
        <v>9</v>
      </c>
      <c r="K1" s="5" t="s">
        <v>10</v>
      </c>
      <c r="L1" s="6" t="s">
        <v>11</v>
      </c>
      <c r="M1" s="6" t="s">
        <v>12</v>
      </c>
      <c r="N1" s="1" t="s">
        <v>13</v>
      </c>
      <c r="O1" s="2" t="s">
        <v>14</v>
      </c>
      <c r="P1" s="2" t="s">
        <v>15</v>
      </c>
      <c r="Q1" s="7"/>
      <c r="R1" s="8" t="s">
        <v>16</v>
      </c>
      <c r="S1" s="9" t="s">
        <v>17</v>
      </c>
      <c r="T1" s="10" t="s">
        <v>18</v>
      </c>
      <c r="U1" s="10" t="s">
        <v>19</v>
      </c>
      <c r="V1" s="8" t="s">
        <v>20</v>
      </c>
      <c r="W1" s="9" t="s">
        <v>21</v>
      </c>
      <c r="X1" s="11" t="s">
        <v>22</v>
      </c>
      <c r="Y1" s="7"/>
      <c r="Z1" s="7"/>
      <c r="AA1" s="7"/>
      <c r="AB1" s="7"/>
      <c r="AC1" s="7"/>
    </row>
    <row r="2" ht="22.5" customHeight="1">
      <c r="A2" s="12"/>
      <c r="B2" s="13"/>
      <c r="C2" s="14"/>
      <c r="D2" s="15"/>
      <c r="E2" s="16"/>
      <c r="F2" s="16"/>
      <c r="G2" s="17"/>
      <c r="H2" s="18"/>
      <c r="I2" s="19"/>
      <c r="J2" s="20"/>
      <c r="K2" s="16"/>
      <c r="L2" s="21"/>
      <c r="M2" s="16"/>
      <c r="N2" s="22"/>
      <c r="O2" s="23"/>
      <c r="P2" s="24"/>
      <c r="Q2" s="7"/>
      <c r="R2" s="25" t="str">
        <f>((T2+U2)/(T2+U2+W2))*100</f>
        <v>#DIV/0!</v>
      </c>
      <c r="S2" s="26" t="str">
        <f>((W2)/(T2+U2+W2))*100</f>
        <v>#DIV/0!</v>
      </c>
      <c r="T2" s="10">
        <f>countif(G2:G46,T1)</f>
        <v>0</v>
      </c>
      <c r="U2" s="10">
        <f>countif(G2:G46,U1)</f>
        <v>0</v>
      </c>
      <c r="V2" s="8">
        <f>T2+U2</f>
        <v>0</v>
      </c>
      <c r="W2" s="9">
        <f>countif(G2:G46,W1)</f>
        <v>0</v>
      </c>
      <c r="X2" s="27">
        <f>SUM(I:I)</f>
        <v>0</v>
      </c>
      <c r="Y2" s="7"/>
      <c r="Z2" s="7"/>
      <c r="AA2" s="7"/>
      <c r="AB2" s="7"/>
      <c r="AC2" s="7"/>
    </row>
    <row r="3" ht="22.5" customHeight="1">
      <c r="A3" s="12"/>
      <c r="B3" s="13"/>
      <c r="C3" s="14"/>
      <c r="D3" s="28"/>
      <c r="E3" s="16"/>
      <c r="F3" s="16"/>
      <c r="G3" s="29"/>
      <c r="H3" s="18"/>
      <c r="I3" s="30"/>
      <c r="J3" s="20"/>
      <c r="K3" s="16"/>
      <c r="L3" s="31"/>
      <c r="M3" s="16"/>
      <c r="N3" s="32"/>
      <c r="O3" s="23"/>
      <c r="P3" s="24"/>
      <c r="Q3" s="7"/>
      <c r="R3" s="7"/>
      <c r="S3" s="7"/>
      <c r="T3" s="7"/>
      <c r="U3" s="7"/>
      <c r="V3" s="7"/>
      <c r="W3" s="7"/>
      <c r="X3" s="7"/>
      <c r="Y3" s="7"/>
      <c r="Z3" s="7"/>
      <c r="AA3" s="7"/>
      <c r="AB3" s="7"/>
      <c r="AC3" s="7"/>
    </row>
    <row r="4" ht="22.5" customHeight="1">
      <c r="A4" s="12"/>
      <c r="B4" s="13"/>
      <c r="C4" s="14"/>
      <c r="D4" s="28"/>
      <c r="E4" s="16"/>
      <c r="F4" s="16"/>
      <c r="G4" s="29"/>
      <c r="H4" s="18"/>
      <c r="I4" s="30"/>
      <c r="J4" s="20"/>
      <c r="K4" s="16"/>
      <c r="L4" s="31"/>
      <c r="M4" s="16"/>
      <c r="N4" s="32"/>
      <c r="O4" s="23"/>
      <c r="P4" s="24"/>
      <c r="Q4" s="7"/>
      <c r="R4" s="7"/>
      <c r="S4" s="7"/>
      <c r="T4" s="7"/>
      <c r="U4" s="7"/>
      <c r="V4" s="7"/>
      <c r="W4" s="7"/>
      <c r="X4" s="7"/>
      <c r="Y4" s="7"/>
      <c r="Z4" s="7"/>
      <c r="AA4" s="7"/>
      <c r="AB4" s="7"/>
      <c r="AC4" s="7"/>
    </row>
    <row r="5" ht="22.5" customHeight="1">
      <c r="A5" s="12"/>
      <c r="B5" s="13"/>
      <c r="C5" s="14"/>
      <c r="D5" s="28"/>
      <c r="E5" s="16"/>
      <c r="F5" s="16"/>
      <c r="G5" s="29"/>
      <c r="H5" s="18"/>
      <c r="I5" s="30"/>
      <c r="J5" s="20"/>
      <c r="K5" s="16"/>
      <c r="L5" s="31"/>
      <c r="M5" s="16"/>
      <c r="N5" s="32"/>
      <c r="O5" s="23"/>
      <c r="P5" s="24"/>
      <c r="Q5" s="7"/>
      <c r="R5" s="7"/>
      <c r="S5" s="7"/>
      <c r="T5" s="7"/>
      <c r="U5" s="7"/>
      <c r="V5" s="7"/>
      <c r="W5" s="7"/>
      <c r="X5" s="7"/>
      <c r="Y5" s="7"/>
      <c r="Z5" s="7"/>
      <c r="AA5" s="7"/>
      <c r="AB5" s="7"/>
      <c r="AC5" s="7"/>
    </row>
    <row r="6" ht="22.5" customHeight="1">
      <c r="A6" s="12"/>
      <c r="B6" s="13"/>
      <c r="C6" s="14"/>
      <c r="D6" s="28"/>
      <c r="E6" s="16"/>
      <c r="F6" s="16"/>
      <c r="G6" s="29"/>
      <c r="H6" s="18"/>
      <c r="I6" s="30"/>
      <c r="J6" s="20"/>
      <c r="K6" s="16"/>
      <c r="L6" s="31"/>
      <c r="M6" s="16"/>
      <c r="N6" s="32"/>
      <c r="O6" s="23"/>
      <c r="P6" s="24"/>
      <c r="Q6" s="7"/>
      <c r="R6" s="7"/>
      <c r="S6" s="7"/>
      <c r="T6" s="7"/>
      <c r="U6" s="7"/>
      <c r="V6" s="7"/>
      <c r="W6" s="7"/>
      <c r="X6" s="7"/>
      <c r="Y6" s="7"/>
      <c r="Z6" s="7"/>
      <c r="AA6" s="7"/>
      <c r="AB6" s="7"/>
      <c r="AC6" s="7"/>
    </row>
    <row r="7" ht="22.5" customHeight="1">
      <c r="A7" s="12"/>
      <c r="B7" s="13"/>
      <c r="C7" s="14"/>
      <c r="D7" s="28"/>
      <c r="E7" s="16"/>
      <c r="F7" s="16"/>
      <c r="G7" s="29"/>
      <c r="H7" s="18"/>
      <c r="I7" s="30"/>
      <c r="J7" s="20"/>
      <c r="K7" s="16"/>
      <c r="L7" s="31"/>
      <c r="M7" s="16"/>
      <c r="N7" s="32"/>
      <c r="O7" s="23"/>
      <c r="P7" s="24"/>
      <c r="Q7" s="7"/>
      <c r="R7" s="7"/>
      <c r="S7" s="7"/>
      <c r="T7" s="7"/>
      <c r="U7" s="7"/>
      <c r="V7" s="7"/>
      <c r="W7" s="7"/>
      <c r="X7" s="7"/>
      <c r="Y7" s="7"/>
      <c r="Z7" s="7"/>
      <c r="AA7" s="7"/>
      <c r="AB7" s="7"/>
      <c r="AC7" s="7"/>
    </row>
    <row r="8" ht="22.5" customHeight="1">
      <c r="A8" s="12"/>
      <c r="B8" s="13"/>
      <c r="C8" s="14"/>
      <c r="D8" s="28"/>
      <c r="E8" s="16"/>
      <c r="F8" s="16"/>
      <c r="G8" s="29"/>
      <c r="H8" s="18"/>
      <c r="I8" s="30"/>
      <c r="J8" s="20"/>
      <c r="K8" s="16"/>
      <c r="L8" s="31"/>
      <c r="M8" s="16"/>
      <c r="N8" s="32"/>
      <c r="O8" s="23"/>
      <c r="P8" s="24"/>
      <c r="Q8" s="7"/>
      <c r="R8" s="7"/>
      <c r="S8" s="7"/>
      <c r="T8" s="7"/>
      <c r="U8" s="7"/>
      <c r="V8" s="7"/>
      <c r="W8" s="7"/>
      <c r="X8" s="7"/>
      <c r="Y8" s="7"/>
      <c r="Z8" s="7"/>
      <c r="AA8" s="7"/>
      <c r="AB8" s="7"/>
      <c r="AC8" s="7"/>
    </row>
    <row r="9" ht="22.5" customHeight="1">
      <c r="A9" s="12"/>
      <c r="B9" s="13"/>
      <c r="C9" s="14"/>
      <c r="D9" s="28"/>
      <c r="E9" s="16"/>
      <c r="F9" s="16"/>
      <c r="G9" s="29"/>
      <c r="H9" s="18"/>
      <c r="I9" s="30"/>
      <c r="J9" s="20"/>
      <c r="K9" s="16"/>
      <c r="L9" s="31"/>
      <c r="M9" s="16"/>
      <c r="N9" s="32"/>
      <c r="O9" s="23"/>
      <c r="P9" s="24"/>
      <c r="Q9" s="7"/>
      <c r="R9" s="7"/>
      <c r="S9" s="7"/>
      <c r="T9" s="7"/>
      <c r="U9" s="7"/>
      <c r="V9" s="7"/>
      <c r="W9" s="7"/>
      <c r="X9" s="7"/>
      <c r="Y9" s="7"/>
      <c r="Z9" s="7"/>
      <c r="AA9" s="7"/>
      <c r="AB9" s="7"/>
      <c r="AC9" s="7"/>
    </row>
    <row r="10" ht="22.5" customHeight="1">
      <c r="A10" s="12"/>
      <c r="B10" s="13"/>
      <c r="C10" s="14"/>
      <c r="D10" s="28"/>
      <c r="E10" s="16"/>
      <c r="F10" s="16"/>
      <c r="G10" s="29"/>
      <c r="H10" s="18"/>
      <c r="I10" s="30"/>
      <c r="J10" s="20"/>
      <c r="K10" s="16"/>
      <c r="L10" s="31"/>
      <c r="M10" s="16"/>
      <c r="N10" s="32"/>
      <c r="O10" s="23"/>
      <c r="P10" s="24"/>
      <c r="Q10" s="7"/>
      <c r="R10" s="7"/>
      <c r="S10" s="7"/>
      <c r="T10" s="7"/>
      <c r="U10" s="7"/>
      <c r="V10" s="7"/>
      <c r="W10" s="7"/>
      <c r="X10" s="7"/>
      <c r="Y10" s="7"/>
      <c r="Z10" s="7"/>
      <c r="AA10" s="7"/>
      <c r="AB10" s="7"/>
      <c r="AC10" s="7"/>
    </row>
    <row r="11" ht="22.5" customHeight="1">
      <c r="A11" s="12"/>
      <c r="B11" s="13"/>
      <c r="C11" s="14"/>
      <c r="D11" s="28"/>
      <c r="E11" s="16"/>
      <c r="F11" s="16"/>
      <c r="G11" s="29"/>
      <c r="H11" s="18"/>
      <c r="I11" s="30"/>
      <c r="J11" s="20"/>
      <c r="K11" s="16"/>
      <c r="L11" s="31"/>
      <c r="M11" s="16"/>
      <c r="N11" s="32"/>
      <c r="O11" s="23"/>
      <c r="P11" s="24"/>
      <c r="Q11" s="7"/>
      <c r="R11" s="7"/>
      <c r="S11" s="7"/>
      <c r="T11" s="7"/>
      <c r="U11" s="7"/>
      <c r="V11" s="7"/>
      <c r="W11" s="7"/>
      <c r="X11" s="7"/>
      <c r="Y11" s="7"/>
      <c r="Z11" s="7"/>
      <c r="AA11" s="7"/>
      <c r="AB11" s="7"/>
      <c r="AC11" s="7"/>
    </row>
    <row r="12" ht="22.5" customHeight="1">
      <c r="A12" s="12"/>
      <c r="B12" s="13"/>
      <c r="C12" s="14"/>
      <c r="D12" s="28"/>
      <c r="E12" s="16"/>
      <c r="F12" s="16"/>
      <c r="G12" s="29"/>
      <c r="H12" s="18"/>
      <c r="I12" s="30"/>
      <c r="J12" s="20"/>
      <c r="K12" s="16"/>
      <c r="L12" s="31"/>
      <c r="M12" s="16"/>
      <c r="N12" s="32"/>
      <c r="O12" s="23"/>
      <c r="P12" s="24"/>
      <c r="Q12" s="7"/>
      <c r="R12" s="7"/>
      <c r="S12" s="7"/>
      <c r="T12" s="7"/>
      <c r="U12" s="7"/>
      <c r="V12" s="7"/>
      <c r="W12" s="7"/>
      <c r="X12" s="7"/>
      <c r="Y12" s="7"/>
      <c r="Z12" s="7"/>
      <c r="AA12" s="7"/>
      <c r="AB12" s="7"/>
      <c r="AC12" s="7"/>
    </row>
    <row r="13" ht="22.5" customHeight="1">
      <c r="A13" s="12"/>
      <c r="B13" s="13"/>
      <c r="C13" s="14"/>
      <c r="D13" s="28"/>
      <c r="E13" s="16"/>
      <c r="F13" s="16"/>
      <c r="G13" s="29"/>
      <c r="H13" s="18"/>
      <c r="I13" s="30"/>
      <c r="J13" s="20"/>
      <c r="K13" s="16"/>
      <c r="L13" s="31"/>
      <c r="M13" s="16"/>
      <c r="N13" s="32"/>
      <c r="O13" s="23"/>
      <c r="P13" s="24"/>
      <c r="Q13" s="7"/>
      <c r="R13" s="7"/>
      <c r="S13" s="7"/>
      <c r="T13" s="7"/>
      <c r="U13" s="7"/>
      <c r="V13" s="7"/>
      <c r="W13" s="7"/>
      <c r="X13" s="7"/>
      <c r="Y13" s="7"/>
      <c r="Z13" s="7"/>
      <c r="AA13" s="7"/>
      <c r="AB13" s="7"/>
      <c r="AC13" s="7"/>
    </row>
    <row r="14" ht="22.5" customHeight="1">
      <c r="A14" s="12"/>
      <c r="B14" s="13"/>
      <c r="C14" s="14"/>
      <c r="D14" s="28"/>
      <c r="E14" s="16"/>
      <c r="F14" s="16"/>
      <c r="G14" s="29"/>
      <c r="H14" s="18"/>
      <c r="I14" s="30"/>
      <c r="J14" s="20"/>
      <c r="K14" s="16"/>
      <c r="L14" s="31"/>
      <c r="M14" s="16"/>
      <c r="N14" s="32"/>
      <c r="O14" s="23"/>
      <c r="P14" s="24"/>
      <c r="Q14" s="7"/>
      <c r="R14" s="7"/>
      <c r="S14" s="7"/>
      <c r="T14" s="7"/>
      <c r="U14" s="7"/>
      <c r="V14" s="7"/>
      <c r="W14" s="7"/>
      <c r="X14" s="7"/>
      <c r="Y14" s="7"/>
      <c r="Z14" s="7"/>
      <c r="AA14" s="7"/>
      <c r="AB14" s="7"/>
      <c r="AC14" s="7"/>
    </row>
    <row r="15" ht="22.5" customHeight="1">
      <c r="A15" s="12"/>
      <c r="B15" s="13"/>
      <c r="C15" s="14"/>
      <c r="D15" s="28"/>
      <c r="E15" s="16"/>
      <c r="F15" s="16"/>
      <c r="G15" s="29"/>
      <c r="H15" s="18"/>
      <c r="I15" s="30"/>
      <c r="J15" s="20"/>
      <c r="K15" s="16"/>
      <c r="L15" s="31"/>
      <c r="M15" s="16"/>
      <c r="N15" s="32"/>
      <c r="O15" s="23"/>
      <c r="P15" s="24"/>
      <c r="Q15" s="7"/>
      <c r="R15" s="7"/>
      <c r="S15" s="7"/>
      <c r="T15" s="7"/>
      <c r="U15" s="7"/>
      <c r="V15" s="7"/>
      <c r="W15" s="7"/>
      <c r="X15" s="7"/>
      <c r="Y15" s="7"/>
      <c r="Z15" s="7"/>
      <c r="AA15" s="7"/>
      <c r="AB15" s="7"/>
      <c r="AC15" s="7"/>
    </row>
    <row r="16" ht="22.5" customHeight="1">
      <c r="A16" s="12"/>
      <c r="B16" s="13"/>
      <c r="C16" s="14"/>
      <c r="D16" s="28"/>
      <c r="E16" s="16"/>
      <c r="F16" s="16"/>
      <c r="G16" s="29"/>
      <c r="H16" s="18"/>
      <c r="I16" s="30"/>
      <c r="J16" s="20"/>
      <c r="K16" s="16"/>
      <c r="L16" s="31"/>
      <c r="M16" s="16"/>
      <c r="N16" s="32"/>
      <c r="O16" s="23"/>
      <c r="P16" s="24"/>
      <c r="Q16" s="7"/>
      <c r="R16" s="7"/>
      <c r="S16" s="7"/>
      <c r="T16" s="7"/>
      <c r="U16" s="7"/>
      <c r="V16" s="7"/>
      <c r="W16" s="7"/>
      <c r="X16" s="7"/>
      <c r="Y16" s="7"/>
      <c r="Z16" s="7"/>
      <c r="AA16" s="7"/>
      <c r="AB16" s="7"/>
      <c r="AC16" s="7"/>
    </row>
    <row r="17" ht="22.5" customHeight="1">
      <c r="A17" s="12"/>
      <c r="B17" s="13"/>
      <c r="C17" s="14"/>
      <c r="D17" s="28"/>
      <c r="E17" s="16"/>
      <c r="F17" s="16"/>
      <c r="G17" s="29"/>
      <c r="H17" s="18"/>
      <c r="I17" s="30"/>
      <c r="J17" s="20"/>
      <c r="K17" s="16"/>
      <c r="L17" s="31"/>
      <c r="M17" s="16"/>
      <c r="N17" s="32"/>
      <c r="O17" s="23"/>
      <c r="P17" s="24"/>
      <c r="Q17" s="7"/>
      <c r="R17" s="7"/>
      <c r="S17" s="7"/>
      <c r="T17" s="7"/>
      <c r="U17" s="7"/>
      <c r="V17" s="7"/>
      <c r="W17" s="7"/>
      <c r="X17" s="7"/>
      <c r="Y17" s="7"/>
      <c r="Z17" s="7"/>
      <c r="AA17" s="7"/>
      <c r="AB17" s="7"/>
      <c r="AC17" s="7"/>
    </row>
    <row r="18" ht="22.5" customHeight="1">
      <c r="A18" s="12"/>
      <c r="B18" s="13"/>
      <c r="C18" s="14"/>
      <c r="D18" s="28"/>
      <c r="E18" s="16"/>
      <c r="F18" s="16"/>
      <c r="G18" s="29"/>
      <c r="H18" s="18"/>
      <c r="I18" s="30"/>
      <c r="J18" s="20"/>
      <c r="K18" s="16"/>
      <c r="L18" s="31"/>
      <c r="M18" s="16"/>
      <c r="N18" s="32"/>
      <c r="O18" s="23"/>
      <c r="P18" s="24"/>
      <c r="Q18" s="7"/>
      <c r="R18" s="7"/>
      <c r="S18" s="7"/>
      <c r="T18" s="7"/>
      <c r="U18" s="7"/>
      <c r="V18" s="7"/>
      <c r="W18" s="7"/>
      <c r="X18" s="7"/>
      <c r="Y18" s="7"/>
      <c r="Z18" s="7"/>
      <c r="AA18" s="7"/>
      <c r="AB18" s="7"/>
      <c r="AC18" s="7"/>
    </row>
    <row r="19" ht="22.5" customHeight="1">
      <c r="A19" s="12"/>
      <c r="B19" s="13"/>
      <c r="C19" s="14"/>
      <c r="D19" s="28"/>
      <c r="E19" s="16"/>
      <c r="F19" s="16"/>
      <c r="G19" s="29"/>
      <c r="H19" s="18"/>
      <c r="I19" s="30"/>
      <c r="J19" s="20"/>
      <c r="K19" s="16"/>
      <c r="L19" s="31"/>
      <c r="M19" s="16"/>
      <c r="N19" s="32"/>
      <c r="O19" s="23"/>
      <c r="P19" s="24"/>
      <c r="Q19" s="7"/>
      <c r="R19" s="7"/>
      <c r="S19" s="7"/>
      <c r="T19" s="7"/>
      <c r="U19" s="7"/>
      <c r="V19" s="7"/>
      <c r="W19" s="7"/>
      <c r="X19" s="7"/>
      <c r="Y19" s="7"/>
      <c r="Z19" s="7"/>
      <c r="AA19" s="7"/>
      <c r="AB19" s="7"/>
      <c r="AC19" s="7"/>
    </row>
    <row r="20" ht="22.5" customHeight="1">
      <c r="A20" s="12"/>
      <c r="B20" s="13"/>
      <c r="C20" s="14"/>
      <c r="D20" s="28"/>
      <c r="E20" s="16"/>
      <c r="F20" s="16"/>
      <c r="G20" s="29"/>
      <c r="H20" s="18"/>
      <c r="I20" s="30"/>
      <c r="J20" s="20"/>
      <c r="K20" s="16"/>
      <c r="L20" s="31"/>
      <c r="M20" s="16"/>
      <c r="N20" s="32"/>
      <c r="O20" s="23"/>
      <c r="P20" s="24"/>
      <c r="Q20" s="7"/>
      <c r="R20" s="7"/>
      <c r="S20" s="7"/>
      <c r="T20" s="7"/>
      <c r="U20" s="7"/>
      <c r="V20" s="7"/>
      <c r="W20" s="7"/>
      <c r="X20" s="7"/>
      <c r="Y20" s="7"/>
      <c r="Z20" s="7"/>
      <c r="AA20" s="7"/>
      <c r="AB20" s="7"/>
      <c r="AC20" s="7"/>
    </row>
    <row r="21" ht="22.5" customHeight="1">
      <c r="A21" s="12"/>
      <c r="B21" s="13"/>
      <c r="C21" s="14"/>
      <c r="D21" s="28"/>
      <c r="E21" s="16"/>
      <c r="F21" s="16"/>
      <c r="G21" s="29"/>
      <c r="H21" s="18"/>
      <c r="I21" s="30"/>
      <c r="J21" s="20"/>
      <c r="K21" s="16"/>
      <c r="L21" s="31"/>
      <c r="M21" s="16"/>
      <c r="N21" s="32"/>
      <c r="O21" s="23"/>
      <c r="P21" s="24"/>
      <c r="Q21" s="7"/>
      <c r="R21" s="7"/>
      <c r="S21" s="7"/>
      <c r="T21" s="7"/>
      <c r="U21" s="7"/>
      <c r="V21" s="7"/>
      <c r="W21" s="7"/>
      <c r="X21" s="7"/>
      <c r="Y21" s="7"/>
      <c r="Z21" s="7"/>
      <c r="AA21" s="7"/>
      <c r="AB21" s="7"/>
      <c r="AC21" s="7"/>
    </row>
    <row r="22" ht="22.5" customHeight="1">
      <c r="A22" s="12"/>
      <c r="B22" s="13"/>
      <c r="C22" s="14"/>
      <c r="D22" s="28"/>
      <c r="E22" s="16"/>
      <c r="F22" s="16"/>
      <c r="G22" s="29"/>
      <c r="H22" s="18"/>
      <c r="I22" s="30"/>
      <c r="J22" s="20"/>
      <c r="K22" s="16"/>
      <c r="L22" s="31"/>
      <c r="M22" s="16"/>
      <c r="N22" s="32"/>
      <c r="O22" s="23"/>
      <c r="P22" s="24"/>
      <c r="Q22" s="7"/>
      <c r="R22" s="7"/>
      <c r="S22" s="7"/>
      <c r="T22" s="7"/>
      <c r="U22" s="7"/>
      <c r="V22" s="7"/>
      <c r="W22" s="7"/>
      <c r="X22" s="7"/>
      <c r="Y22" s="7"/>
      <c r="Z22" s="7"/>
      <c r="AA22" s="7"/>
      <c r="AB22" s="7"/>
      <c r="AC22" s="7"/>
    </row>
    <row r="23" ht="22.5" customHeight="1">
      <c r="A23" s="12"/>
      <c r="B23" s="13"/>
      <c r="C23" s="14"/>
      <c r="D23" s="28"/>
      <c r="E23" s="16"/>
      <c r="F23" s="16"/>
      <c r="G23" s="29"/>
      <c r="H23" s="18"/>
      <c r="I23" s="30"/>
      <c r="J23" s="20"/>
      <c r="K23" s="16"/>
      <c r="L23" s="31"/>
      <c r="M23" s="16"/>
      <c r="N23" s="32"/>
      <c r="O23" s="23"/>
      <c r="P23" s="24"/>
      <c r="Q23" s="7"/>
      <c r="R23" s="7"/>
      <c r="S23" s="7"/>
      <c r="T23" s="7"/>
      <c r="U23" s="7"/>
      <c r="V23" s="7"/>
      <c r="W23" s="7"/>
      <c r="X23" s="7"/>
      <c r="Y23" s="7"/>
      <c r="Z23" s="7"/>
      <c r="AA23" s="7"/>
      <c r="AB23" s="7"/>
      <c r="AC23" s="7"/>
    </row>
    <row r="24" ht="22.5" customHeight="1">
      <c r="A24" s="12"/>
      <c r="B24" s="13"/>
      <c r="C24" s="14"/>
      <c r="D24" s="28"/>
      <c r="E24" s="16"/>
      <c r="F24" s="16"/>
      <c r="G24" s="29"/>
      <c r="H24" s="18"/>
      <c r="I24" s="30"/>
      <c r="J24" s="20"/>
      <c r="K24" s="16"/>
      <c r="L24" s="31"/>
      <c r="M24" s="16"/>
      <c r="N24" s="32"/>
      <c r="O24" s="23"/>
      <c r="P24" s="24"/>
      <c r="Q24" s="7"/>
      <c r="R24" s="7"/>
      <c r="S24" s="7"/>
      <c r="T24" s="7"/>
      <c r="U24" s="7"/>
      <c r="V24" s="7"/>
      <c r="W24" s="7"/>
      <c r="X24" s="7"/>
      <c r="Y24" s="7"/>
      <c r="Z24" s="7"/>
      <c r="AA24" s="7"/>
      <c r="AB24" s="7"/>
      <c r="AC24" s="7"/>
    </row>
    <row r="25" ht="22.5" customHeight="1">
      <c r="A25" s="12"/>
      <c r="B25" s="13"/>
      <c r="C25" s="14"/>
      <c r="D25" s="28"/>
      <c r="E25" s="16"/>
      <c r="F25" s="16"/>
      <c r="G25" s="29"/>
      <c r="H25" s="18"/>
      <c r="I25" s="30"/>
      <c r="J25" s="20"/>
      <c r="K25" s="16"/>
      <c r="L25" s="31"/>
      <c r="M25" s="16"/>
      <c r="N25" s="32"/>
      <c r="O25" s="23"/>
      <c r="P25" s="24"/>
      <c r="Q25" s="7"/>
      <c r="R25" s="7"/>
      <c r="S25" s="7"/>
      <c r="T25" s="7"/>
      <c r="U25" s="7"/>
      <c r="V25" s="7"/>
      <c r="W25" s="7"/>
      <c r="X25" s="7"/>
      <c r="Y25" s="7"/>
      <c r="Z25" s="7"/>
      <c r="AA25" s="7"/>
      <c r="AB25" s="7"/>
      <c r="AC25" s="7"/>
    </row>
    <row r="26" ht="22.5" customHeight="1">
      <c r="A26" s="12"/>
      <c r="B26" s="13"/>
      <c r="C26" s="14"/>
      <c r="D26" s="28"/>
      <c r="E26" s="16"/>
      <c r="F26" s="16"/>
      <c r="G26" s="29"/>
      <c r="H26" s="18"/>
      <c r="I26" s="30"/>
      <c r="J26" s="20"/>
      <c r="K26" s="16"/>
      <c r="L26" s="31"/>
      <c r="M26" s="16"/>
      <c r="N26" s="32"/>
      <c r="O26" s="23"/>
      <c r="P26" s="24"/>
      <c r="Q26" s="7"/>
      <c r="R26" s="7"/>
      <c r="S26" s="7"/>
      <c r="T26" s="7"/>
      <c r="U26" s="7"/>
      <c r="V26" s="7"/>
      <c r="W26" s="7"/>
      <c r="X26" s="7"/>
      <c r="Y26" s="7"/>
      <c r="Z26" s="7"/>
      <c r="AA26" s="7"/>
      <c r="AB26" s="7"/>
      <c r="AC26" s="7"/>
    </row>
    <row r="27" ht="22.5" customHeight="1">
      <c r="A27" s="12"/>
      <c r="B27" s="13"/>
      <c r="C27" s="14"/>
      <c r="D27" s="28"/>
      <c r="E27" s="16"/>
      <c r="F27" s="16"/>
      <c r="G27" s="29"/>
      <c r="H27" s="18"/>
      <c r="I27" s="30"/>
      <c r="J27" s="20"/>
      <c r="K27" s="16"/>
      <c r="L27" s="31"/>
      <c r="M27" s="16"/>
      <c r="N27" s="32"/>
      <c r="O27" s="23"/>
      <c r="P27" s="24"/>
      <c r="Q27" s="7"/>
      <c r="R27" s="7"/>
      <c r="S27" s="7"/>
      <c r="T27" s="7"/>
      <c r="U27" s="7"/>
      <c r="V27" s="7"/>
      <c r="W27" s="7"/>
      <c r="X27" s="7"/>
      <c r="Y27" s="7"/>
      <c r="Z27" s="7"/>
      <c r="AA27" s="7"/>
      <c r="AB27" s="7"/>
      <c r="AC27" s="7"/>
    </row>
    <row r="28" ht="22.5" customHeight="1">
      <c r="A28" s="12"/>
      <c r="B28" s="13"/>
      <c r="C28" s="14"/>
      <c r="D28" s="28"/>
      <c r="E28" s="16"/>
      <c r="F28" s="16"/>
      <c r="G28" s="29"/>
      <c r="H28" s="18"/>
      <c r="I28" s="30"/>
      <c r="J28" s="20"/>
      <c r="K28" s="16"/>
      <c r="L28" s="31"/>
      <c r="M28" s="16"/>
      <c r="N28" s="32"/>
      <c r="O28" s="23"/>
      <c r="P28" s="24"/>
      <c r="Q28" s="7"/>
      <c r="R28" s="7"/>
      <c r="S28" s="7"/>
      <c r="T28" s="7"/>
      <c r="U28" s="7"/>
      <c r="V28" s="7"/>
      <c r="W28" s="7"/>
      <c r="X28" s="7"/>
      <c r="Y28" s="7"/>
      <c r="Z28" s="7"/>
      <c r="AA28" s="7"/>
      <c r="AB28" s="7"/>
      <c r="AC28" s="7"/>
    </row>
    <row r="29" ht="22.5" customHeight="1">
      <c r="A29" s="12"/>
      <c r="B29" s="13"/>
      <c r="C29" s="14"/>
      <c r="D29" s="28"/>
      <c r="E29" s="16"/>
      <c r="F29" s="16"/>
      <c r="G29" s="29"/>
      <c r="H29" s="18"/>
      <c r="I29" s="30"/>
      <c r="J29" s="20"/>
      <c r="K29" s="16"/>
      <c r="L29" s="31"/>
      <c r="M29" s="16"/>
      <c r="N29" s="32"/>
      <c r="O29" s="23"/>
      <c r="P29" s="24"/>
      <c r="Q29" s="7"/>
      <c r="R29" s="7"/>
      <c r="S29" s="7"/>
      <c r="T29" s="7"/>
      <c r="U29" s="7"/>
      <c r="V29" s="7"/>
      <c r="W29" s="7"/>
      <c r="X29" s="7"/>
      <c r="Y29" s="7"/>
      <c r="Z29" s="7"/>
      <c r="AA29" s="7"/>
      <c r="AB29" s="7"/>
      <c r="AC29" s="7"/>
    </row>
    <row r="30" ht="22.5" customHeight="1">
      <c r="A30" s="12"/>
      <c r="B30" s="13"/>
      <c r="C30" s="14"/>
      <c r="D30" s="28"/>
      <c r="E30" s="16"/>
      <c r="F30" s="16"/>
      <c r="G30" s="29"/>
      <c r="H30" s="18"/>
      <c r="I30" s="30"/>
      <c r="J30" s="20"/>
      <c r="K30" s="16"/>
      <c r="L30" s="31"/>
      <c r="M30" s="16"/>
      <c r="N30" s="32"/>
      <c r="O30" s="23"/>
      <c r="P30" s="24"/>
      <c r="Q30" s="7"/>
      <c r="R30" s="7"/>
      <c r="S30" s="7"/>
      <c r="T30" s="7"/>
      <c r="U30" s="7"/>
      <c r="V30" s="7"/>
      <c r="W30" s="7"/>
      <c r="X30" s="7"/>
      <c r="Y30" s="7"/>
      <c r="Z30" s="7"/>
      <c r="AA30" s="7"/>
      <c r="AB30" s="7"/>
      <c r="AC30" s="7"/>
    </row>
    <row r="31" ht="22.5" customHeight="1">
      <c r="A31" s="12"/>
      <c r="B31" s="13"/>
      <c r="C31" s="14"/>
      <c r="D31" s="28"/>
      <c r="E31" s="16"/>
      <c r="F31" s="16"/>
      <c r="G31" s="29"/>
      <c r="H31" s="18"/>
      <c r="I31" s="30"/>
      <c r="J31" s="20"/>
      <c r="K31" s="16"/>
      <c r="L31" s="31"/>
      <c r="M31" s="16"/>
      <c r="N31" s="32"/>
      <c r="O31" s="23"/>
      <c r="P31" s="24"/>
      <c r="Q31" s="7"/>
      <c r="R31" s="7"/>
      <c r="S31" s="7"/>
      <c r="T31" s="7"/>
      <c r="U31" s="7"/>
      <c r="V31" s="7"/>
      <c r="W31" s="7"/>
      <c r="X31" s="7"/>
      <c r="Y31" s="7"/>
      <c r="Z31" s="7"/>
      <c r="AA31" s="7"/>
      <c r="AB31" s="7"/>
      <c r="AC31" s="7"/>
    </row>
    <row r="32" ht="22.5" customHeight="1">
      <c r="A32" s="12"/>
      <c r="B32" s="13"/>
      <c r="C32" s="14"/>
      <c r="D32" s="28"/>
      <c r="E32" s="16"/>
      <c r="F32" s="16"/>
      <c r="G32" s="29"/>
      <c r="H32" s="18"/>
      <c r="I32" s="30"/>
      <c r="J32" s="20"/>
      <c r="K32" s="16"/>
      <c r="L32" s="31"/>
      <c r="M32" s="16"/>
      <c r="N32" s="32"/>
      <c r="O32" s="23"/>
      <c r="P32" s="24"/>
      <c r="Q32" s="7"/>
      <c r="R32" s="7"/>
      <c r="S32" s="7"/>
      <c r="T32" s="7"/>
      <c r="U32" s="7"/>
      <c r="V32" s="7"/>
      <c r="W32" s="7"/>
      <c r="X32" s="7"/>
      <c r="Y32" s="7"/>
      <c r="Z32" s="7"/>
      <c r="AA32" s="7"/>
      <c r="AB32" s="7"/>
      <c r="AC32" s="7"/>
    </row>
    <row r="33" ht="22.5" customHeight="1">
      <c r="A33" s="12"/>
      <c r="B33" s="13"/>
      <c r="C33" s="14"/>
      <c r="D33" s="28"/>
      <c r="E33" s="16"/>
      <c r="F33" s="16"/>
      <c r="G33" s="29"/>
      <c r="H33" s="18"/>
      <c r="I33" s="30"/>
      <c r="J33" s="20"/>
      <c r="K33" s="16"/>
      <c r="L33" s="31"/>
      <c r="M33" s="16"/>
      <c r="N33" s="32"/>
      <c r="O33" s="23"/>
      <c r="P33" s="24"/>
      <c r="Q33" s="7"/>
      <c r="R33" s="7"/>
      <c r="S33" s="7"/>
      <c r="T33" s="7"/>
      <c r="U33" s="7"/>
      <c r="V33" s="7"/>
      <c r="W33" s="7"/>
      <c r="X33" s="7"/>
      <c r="Y33" s="7"/>
      <c r="Z33" s="7"/>
      <c r="AA33" s="7"/>
      <c r="AB33" s="7"/>
      <c r="AC33" s="7"/>
    </row>
    <row r="34" ht="22.5" customHeight="1">
      <c r="A34" s="12"/>
      <c r="B34" s="13"/>
      <c r="C34" s="14"/>
      <c r="D34" s="28"/>
      <c r="E34" s="16"/>
      <c r="F34" s="16"/>
      <c r="G34" s="29"/>
      <c r="H34" s="18"/>
      <c r="I34" s="30"/>
      <c r="J34" s="20"/>
      <c r="K34" s="16"/>
      <c r="L34" s="31"/>
      <c r="M34" s="16"/>
      <c r="N34" s="32"/>
      <c r="O34" s="23"/>
      <c r="P34" s="24"/>
      <c r="Q34" s="7"/>
      <c r="R34" s="7"/>
      <c r="S34" s="7"/>
      <c r="T34" s="7"/>
      <c r="U34" s="7"/>
      <c r="V34" s="7"/>
      <c r="W34" s="7"/>
      <c r="X34" s="7"/>
      <c r="Y34" s="7"/>
      <c r="Z34" s="7"/>
      <c r="AA34" s="7"/>
      <c r="AB34" s="7"/>
      <c r="AC34" s="7"/>
    </row>
    <row r="35" ht="22.5" customHeight="1">
      <c r="A35" s="12"/>
      <c r="B35" s="13"/>
      <c r="C35" s="14"/>
      <c r="D35" s="28"/>
      <c r="E35" s="16"/>
      <c r="F35" s="16"/>
      <c r="G35" s="29"/>
      <c r="H35" s="18"/>
      <c r="I35" s="30"/>
      <c r="J35" s="20"/>
      <c r="K35" s="16"/>
      <c r="L35" s="31"/>
      <c r="M35" s="16"/>
      <c r="N35" s="32"/>
      <c r="O35" s="23"/>
      <c r="P35" s="24"/>
      <c r="Q35" s="7"/>
      <c r="R35" s="7"/>
      <c r="S35" s="7"/>
      <c r="T35" s="7"/>
      <c r="U35" s="7"/>
      <c r="V35" s="7"/>
      <c r="W35" s="7"/>
      <c r="X35" s="7"/>
      <c r="Y35" s="7"/>
      <c r="Z35" s="7"/>
      <c r="AA35" s="7"/>
      <c r="AB35" s="7"/>
      <c r="AC35" s="7"/>
    </row>
    <row r="36" ht="22.5" customHeight="1">
      <c r="A36" s="12"/>
      <c r="B36" s="13"/>
      <c r="C36" s="14"/>
      <c r="D36" s="28"/>
      <c r="E36" s="16"/>
      <c r="F36" s="16"/>
      <c r="G36" s="29"/>
      <c r="H36" s="18"/>
      <c r="I36" s="30"/>
      <c r="J36" s="20"/>
      <c r="K36" s="16"/>
      <c r="L36" s="31"/>
      <c r="M36" s="16"/>
      <c r="N36" s="32"/>
      <c r="O36" s="23"/>
      <c r="P36" s="24"/>
      <c r="Q36" s="7"/>
      <c r="R36" s="7"/>
      <c r="S36" s="7"/>
      <c r="T36" s="7"/>
      <c r="U36" s="7"/>
      <c r="V36" s="7"/>
      <c r="W36" s="7"/>
      <c r="X36" s="7"/>
      <c r="Y36" s="7"/>
      <c r="Z36" s="7"/>
      <c r="AA36" s="7"/>
      <c r="AB36" s="7"/>
      <c r="AC36" s="7"/>
    </row>
    <row r="37" ht="22.5" customHeight="1">
      <c r="A37" s="12"/>
      <c r="B37" s="13"/>
      <c r="C37" s="14"/>
      <c r="D37" s="28"/>
      <c r="E37" s="16"/>
      <c r="F37" s="16"/>
      <c r="G37" s="29"/>
      <c r="H37" s="18"/>
      <c r="I37" s="30"/>
      <c r="J37" s="20"/>
      <c r="K37" s="16"/>
      <c r="L37" s="31"/>
      <c r="M37" s="16"/>
      <c r="N37" s="32"/>
      <c r="O37" s="23"/>
      <c r="P37" s="24"/>
      <c r="Q37" s="7"/>
      <c r="R37" s="7"/>
      <c r="S37" s="7"/>
      <c r="T37" s="7"/>
      <c r="U37" s="7"/>
      <c r="V37" s="7"/>
      <c r="W37" s="7"/>
      <c r="X37" s="7"/>
      <c r="Y37" s="7"/>
      <c r="Z37" s="7"/>
      <c r="AA37" s="7"/>
      <c r="AB37" s="7"/>
      <c r="AC37" s="7"/>
    </row>
    <row r="38" ht="22.5" customHeight="1">
      <c r="A38" s="12"/>
      <c r="B38" s="13"/>
      <c r="C38" s="14"/>
      <c r="D38" s="28"/>
      <c r="E38" s="16"/>
      <c r="F38" s="16"/>
      <c r="G38" s="29"/>
      <c r="H38" s="18"/>
      <c r="I38" s="30"/>
      <c r="J38" s="20"/>
      <c r="K38" s="16"/>
      <c r="L38" s="31"/>
      <c r="M38" s="16"/>
      <c r="N38" s="32"/>
      <c r="O38" s="23"/>
      <c r="P38" s="24"/>
      <c r="Q38" s="7"/>
      <c r="R38" s="7"/>
      <c r="S38" s="7"/>
      <c r="T38" s="7"/>
      <c r="U38" s="7"/>
      <c r="V38" s="7"/>
      <c r="W38" s="7"/>
      <c r="X38" s="7"/>
      <c r="Y38" s="7"/>
      <c r="Z38" s="7"/>
      <c r="AA38" s="7"/>
      <c r="AB38" s="7"/>
      <c r="AC38" s="7"/>
    </row>
    <row r="39" ht="22.5" customHeight="1">
      <c r="A39" s="12"/>
      <c r="B39" s="13"/>
      <c r="C39" s="14"/>
      <c r="D39" s="28"/>
      <c r="E39" s="16"/>
      <c r="F39" s="16"/>
      <c r="G39" s="29"/>
      <c r="H39" s="18"/>
      <c r="I39" s="30"/>
      <c r="J39" s="20"/>
      <c r="K39" s="16"/>
      <c r="L39" s="31"/>
      <c r="M39" s="16"/>
      <c r="N39" s="32"/>
      <c r="O39" s="23"/>
      <c r="P39" s="24"/>
      <c r="Q39" s="7"/>
      <c r="R39" s="7"/>
      <c r="S39" s="7"/>
      <c r="T39" s="7"/>
      <c r="U39" s="7"/>
      <c r="V39" s="7"/>
      <c r="W39" s="7"/>
      <c r="X39" s="7"/>
      <c r="Y39" s="7"/>
      <c r="Z39" s="7"/>
      <c r="AA39" s="7"/>
      <c r="AB39" s="7"/>
      <c r="AC39" s="7"/>
    </row>
    <row r="40" ht="22.5" customHeight="1">
      <c r="A40" s="12"/>
      <c r="B40" s="13"/>
      <c r="C40" s="14"/>
      <c r="D40" s="28"/>
      <c r="E40" s="16"/>
      <c r="F40" s="16"/>
      <c r="G40" s="29"/>
      <c r="H40" s="18"/>
      <c r="I40" s="30"/>
      <c r="J40" s="20"/>
      <c r="K40" s="16"/>
      <c r="L40" s="31"/>
      <c r="M40" s="16"/>
      <c r="N40" s="32"/>
      <c r="O40" s="23"/>
      <c r="P40" s="24"/>
      <c r="Q40" s="7"/>
      <c r="R40" s="7"/>
      <c r="S40" s="7"/>
      <c r="T40" s="7"/>
      <c r="U40" s="7"/>
      <c r="V40" s="7"/>
      <c r="W40" s="7"/>
      <c r="X40" s="7"/>
      <c r="Y40" s="7"/>
      <c r="Z40" s="7"/>
      <c r="AA40" s="7"/>
      <c r="AB40" s="7"/>
      <c r="AC40" s="7"/>
    </row>
    <row r="41" ht="22.5" customHeight="1">
      <c r="A41" s="12"/>
      <c r="B41" s="13"/>
      <c r="C41" s="14"/>
      <c r="D41" s="28"/>
      <c r="E41" s="16"/>
      <c r="F41" s="16"/>
      <c r="G41" s="29"/>
      <c r="H41" s="18"/>
      <c r="I41" s="30"/>
      <c r="J41" s="20"/>
      <c r="K41" s="16"/>
      <c r="L41" s="31"/>
      <c r="M41" s="16"/>
      <c r="N41" s="32"/>
      <c r="O41" s="23"/>
      <c r="P41" s="24"/>
      <c r="Q41" s="7"/>
      <c r="R41" s="7"/>
      <c r="S41" s="7"/>
      <c r="T41" s="7"/>
      <c r="U41" s="7"/>
      <c r="V41" s="7"/>
      <c r="W41" s="7"/>
      <c r="X41" s="7"/>
      <c r="Y41" s="7"/>
      <c r="Z41" s="7"/>
      <c r="AA41" s="7"/>
      <c r="AB41" s="7"/>
      <c r="AC41" s="7"/>
    </row>
    <row r="42" ht="22.5" customHeight="1">
      <c r="A42" s="12"/>
      <c r="B42" s="13"/>
      <c r="C42" s="14"/>
      <c r="D42" s="28"/>
      <c r="E42" s="16"/>
      <c r="F42" s="16"/>
      <c r="G42" s="29"/>
      <c r="H42" s="18"/>
      <c r="I42" s="30"/>
      <c r="J42" s="20"/>
      <c r="K42" s="16"/>
      <c r="L42" s="31"/>
      <c r="M42" s="16"/>
      <c r="N42" s="32"/>
      <c r="O42" s="23"/>
      <c r="P42" s="24"/>
      <c r="Q42" s="7"/>
      <c r="R42" s="7"/>
      <c r="S42" s="7"/>
      <c r="T42" s="7"/>
      <c r="U42" s="7"/>
      <c r="V42" s="7"/>
      <c r="W42" s="7"/>
      <c r="X42" s="7"/>
      <c r="Y42" s="7"/>
      <c r="Z42" s="7"/>
      <c r="AA42" s="7"/>
      <c r="AB42" s="7"/>
      <c r="AC42" s="7"/>
    </row>
    <row r="43" ht="22.5" customHeight="1">
      <c r="A43" s="12"/>
      <c r="B43" s="13"/>
      <c r="C43" s="14"/>
      <c r="D43" s="28"/>
      <c r="E43" s="16"/>
      <c r="F43" s="16"/>
      <c r="G43" s="29"/>
      <c r="H43" s="18"/>
      <c r="I43" s="30"/>
      <c r="J43" s="20"/>
      <c r="K43" s="16"/>
      <c r="L43" s="31"/>
      <c r="M43" s="16"/>
      <c r="N43" s="32"/>
      <c r="O43" s="23"/>
      <c r="P43" s="24"/>
      <c r="Q43" s="7"/>
      <c r="R43" s="7"/>
      <c r="S43" s="7"/>
      <c r="T43" s="7"/>
      <c r="U43" s="7"/>
      <c r="V43" s="7"/>
      <c r="W43" s="7"/>
      <c r="X43" s="7"/>
      <c r="Y43" s="7"/>
      <c r="Z43" s="7"/>
      <c r="AA43" s="7"/>
      <c r="AB43" s="7"/>
      <c r="AC43" s="7"/>
    </row>
    <row r="44" ht="22.5" customHeight="1">
      <c r="A44" s="12"/>
      <c r="B44" s="13"/>
      <c r="C44" s="14"/>
      <c r="D44" s="28"/>
      <c r="E44" s="16"/>
      <c r="F44" s="16"/>
      <c r="G44" s="29"/>
      <c r="H44" s="18"/>
      <c r="I44" s="30"/>
      <c r="J44" s="20"/>
      <c r="K44" s="16"/>
      <c r="L44" s="31"/>
      <c r="M44" s="16"/>
      <c r="N44" s="32"/>
      <c r="O44" s="23"/>
      <c r="P44" s="24"/>
      <c r="Q44" s="7"/>
      <c r="R44" s="7"/>
      <c r="S44" s="7"/>
      <c r="T44" s="7"/>
      <c r="U44" s="7"/>
      <c r="V44" s="7"/>
      <c r="W44" s="7"/>
      <c r="X44" s="7"/>
      <c r="Y44" s="7"/>
      <c r="Z44" s="7"/>
      <c r="AA44" s="7"/>
      <c r="AB44" s="7"/>
      <c r="AC44" s="7"/>
    </row>
    <row r="45" ht="22.5" customHeight="1">
      <c r="A45" s="12"/>
      <c r="B45" s="13"/>
      <c r="C45" s="14"/>
      <c r="D45" s="28"/>
      <c r="E45" s="16"/>
      <c r="F45" s="16"/>
      <c r="G45" s="29"/>
      <c r="H45" s="18"/>
      <c r="I45" s="30"/>
      <c r="J45" s="20"/>
      <c r="K45" s="16"/>
      <c r="L45" s="31"/>
      <c r="M45" s="16"/>
      <c r="N45" s="32"/>
      <c r="O45" s="23"/>
      <c r="P45" s="24"/>
      <c r="Q45" s="7"/>
      <c r="R45" s="7"/>
      <c r="S45" s="7"/>
      <c r="T45" s="7"/>
      <c r="U45" s="7"/>
      <c r="V45" s="7"/>
      <c r="W45" s="7"/>
      <c r="X45" s="7"/>
      <c r="Y45" s="7"/>
      <c r="Z45" s="7"/>
      <c r="AA45" s="7"/>
      <c r="AB45" s="7"/>
      <c r="AC45" s="7"/>
    </row>
    <row r="46" ht="22.5" customHeight="1">
      <c r="A46" s="33"/>
      <c r="B46" s="34"/>
      <c r="C46" s="35"/>
      <c r="D46" s="36"/>
      <c r="E46" s="37"/>
      <c r="F46" s="37"/>
      <c r="G46" s="38"/>
      <c r="H46" s="39"/>
      <c r="I46" s="40"/>
      <c r="J46" s="20"/>
      <c r="K46" s="37"/>
      <c r="L46" s="41"/>
      <c r="M46" s="37"/>
      <c r="N46" s="42"/>
      <c r="O46" s="23"/>
      <c r="P46" s="43"/>
      <c r="Q46" s="7"/>
      <c r="R46" s="7"/>
      <c r="S46" s="7"/>
      <c r="T46" s="7"/>
      <c r="U46" s="7"/>
      <c r="V46" s="7"/>
      <c r="W46" s="7"/>
      <c r="X46" s="7"/>
      <c r="Y46" s="7"/>
      <c r="Z46" s="7"/>
      <c r="AA46" s="7"/>
      <c r="AB46" s="7"/>
      <c r="AC46" s="7"/>
    </row>
    <row r="47" ht="22.5" customHeight="1">
      <c r="A47" s="44"/>
      <c r="B47" s="45"/>
      <c r="C47" s="46"/>
      <c r="D47" s="47"/>
      <c r="E47" s="48"/>
      <c r="F47" s="48"/>
      <c r="G47" s="49"/>
      <c r="H47" s="50"/>
      <c r="I47" s="51"/>
      <c r="J47" s="52"/>
      <c r="K47" s="48"/>
      <c r="L47" s="53"/>
      <c r="M47" s="48"/>
      <c r="N47" s="54"/>
      <c r="O47" s="55"/>
      <c r="P47" s="56"/>
      <c r="Q47" s="7"/>
      <c r="R47" s="7"/>
      <c r="S47" s="7"/>
      <c r="T47" s="7"/>
      <c r="U47" s="7"/>
      <c r="V47" s="7"/>
      <c r="W47" s="7"/>
      <c r="X47" s="7"/>
      <c r="Y47" s="7"/>
      <c r="Z47" s="7"/>
      <c r="AA47" s="7"/>
      <c r="AB47" s="7"/>
      <c r="AC47" s="7"/>
    </row>
    <row r="48" ht="22.5" customHeight="1">
      <c r="A48" s="44"/>
      <c r="B48" s="45"/>
      <c r="C48" s="46"/>
      <c r="D48" s="47"/>
      <c r="E48" s="48"/>
      <c r="F48" s="48"/>
      <c r="G48" s="49"/>
      <c r="H48" s="50"/>
      <c r="I48" s="51"/>
      <c r="J48" s="52"/>
      <c r="K48" s="48"/>
      <c r="L48" s="53"/>
      <c r="M48" s="48"/>
      <c r="N48" s="54"/>
      <c r="O48" s="55"/>
      <c r="P48" s="56"/>
      <c r="Q48" s="7"/>
      <c r="R48" s="7"/>
      <c r="S48" s="7"/>
      <c r="T48" s="7"/>
      <c r="U48" s="7"/>
      <c r="V48" s="7"/>
      <c r="W48" s="7"/>
      <c r="X48" s="7"/>
      <c r="Y48" s="7"/>
      <c r="Z48" s="7"/>
      <c r="AA48" s="7"/>
      <c r="AB48" s="7"/>
      <c r="AC48" s="7"/>
    </row>
    <row r="49" ht="22.5" customHeight="1">
      <c r="A49" s="44"/>
      <c r="B49" s="45"/>
      <c r="C49" s="46"/>
      <c r="D49" s="47"/>
      <c r="E49" s="48"/>
      <c r="F49" s="48"/>
      <c r="G49" s="49"/>
      <c r="H49" s="50"/>
      <c r="I49" s="51"/>
      <c r="J49" s="52"/>
      <c r="K49" s="48"/>
      <c r="L49" s="53"/>
      <c r="M49" s="48"/>
      <c r="N49" s="54"/>
      <c r="O49" s="55"/>
      <c r="P49" s="56"/>
      <c r="Q49" s="7"/>
      <c r="R49" s="7"/>
      <c r="S49" s="7"/>
      <c r="T49" s="7"/>
      <c r="U49" s="7"/>
      <c r="V49" s="7"/>
      <c r="W49" s="7"/>
      <c r="X49" s="7"/>
      <c r="Y49" s="7"/>
      <c r="Z49" s="7"/>
      <c r="AA49" s="7"/>
      <c r="AB49" s="7"/>
      <c r="AC49" s="7"/>
    </row>
    <row r="50" ht="22.5" customHeight="1">
      <c r="A50" s="44"/>
      <c r="B50" s="45"/>
      <c r="C50" s="46"/>
      <c r="D50" s="47"/>
      <c r="E50" s="48"/>
      <c r="F50" s="48"/>
      <c r="G50" s="49"/>
      <c r="H50" s="50"/>
      <c r="I50" s="51"/>
      <c r="J50" s="52"/>
      <c r="K50" s="48"/>
      <c r="L50" s="53"/>
      <c r="M50" s="48"/>
      <c r="N50" s="54"/>
      <c r="O50" s="55"/>
      <c r="P50" s="56"/>
      <c r="Q50" s="7"/>
      <c r="R50" s="7"/>
      <c r="S50" s="7"/>
      <c r="T50" s="7"/>
      <c r="U50" s="7"/>
      <c r="V50" s="7"/>
      <c r="W50" s="7"/>
      <c r="X50" s="7"/>
      <c r="Y50" s="7"/>
      <c r="Z50" s="7"/>
      <c r="AA50" s="7"/>
      <c r="AB50" s="7"/>
      <c r="AC50" s="7"/>
    </row>
  </sheetData>
  <conditionalFormatting sqref="A2:P50">
    <cfRule type="expression" dxfId="4" priority="1">
      <formula>ISNUMBER(SEARCH("Take Profit",$G$2:$G50))</formula>
    </cfRule>
  </conditionalFormatting>
  <conditionalFormatting sqref="A2:P50">
    <cfRule type="expression" dxfId="5" priority="2">
      <formula>ISNUMBER(SEARCH("Stop Loss",$G$2:$G50))</formula>
    </cfRule>
  </conditionalFormatting>
  <conditionalFormatting sqref="A2:P50">
    <cfRule type="expression" dxfId="4" priority="3">
      <formula>ISNUMBER(SEARCH("SL หน้าทุน",$G$2:$G50))</formula>
    </cfRule>
  </conditionalFormatting>
  <conditionalFormatting sqref="A2:P50">
    <cfRule type="expression" dxfId="4" priority="4">
      <formula>ISNUMBER(SEARCH("Trailing",$G$2:$G50))</formula>
    </cfRule>
  </conditionalFormatting>
  <dataValidations>
    <dataValidation type="list" allowBlank="1" sqref="C2:C50">
      <formula1>"XAUUSD"</formula1>
    </dataValidation>
    <dataValidation type="list" allowBlank="1" sqref="B2:B50">
      <formula1>"เช้า,บ่าย,กลางคืน"</formula1>
    </dataValidation>
    <dataValidation type="custom" allowBlank="1" showDropDown="1" sqref="A2:A50">
      <formula1>OR(NOT(ISERROR(DATEVALUE(A2))), AND(ISNUMBER(A2), LEFT(CELL("format", A2))="D"))</formula1>
    </dataValidation>
    <dataValidation type="list" allowBlank="1" sqref="K2:K50 M2:M50">
      <formula1>"Trend Line ขาขึ้น 1D,Trend Line ขาขึ้น 4H,Trend Line ขาขึ้น 1H,Trend Line ขาขึ้น 30M,Trend Line ขาขึ้น 15M,Trend Line ขาลง 1D,Trend Line ขาลง 4H,Trend Line ขาลง 1H,Trend Line ขาลง 30M,Trend Line ขาลง 15M,ราคาใกล้ Trend Line ขาขึ้น 1D,ราคาใกล้ Trend Line ข"&amp;"าขึ้น 4H,ราคาใกล้ Trend Line ขาขึ้น 1H,ราคาใกล้ Trend Line ขาขึ้น 30M,ราคาใกล้ Trend Line ขาขึ้น 15M,ราคาใกล้ Trend Line ขาลง 1D,ราคาใกล้ Trend Line ขาลง 4H,ราคาใกล้ Trend Line ขาลง 1H,ราคาใกล้ Trend Line ขาลง 30M,ราคาใกล้ Trend Line ขาลง 15M,Demand 1D,De"&amp;"mand 4H,Demand 1H,Demand 30M,Demand 15M,Demand 5M,Supply 1D,Supply 4H,Supply 1H,Supply 30M,Supply 15M,Supply 5M,Hidden Candle(HC) 1D,Hidden Candle(HC) 4H,Hidden Candle(HC) 1H,Hidden Candle(HC) 30M,Hidden Candle(HC) 15 M,Hidden Candle(HC) 5 M,ORDER BLOCK(O"&amp;"B) 1D ,ORDER BLOCK(OB) 4H,ORDER BLOCK(OB) 1H,ORDER BLOCK(OB) 30M,ORDER BLOCK(OB) 15M,Sideway บน,Sideway ล่าง,QM (กลับตัว) 1H,QM (กลับตัว) 30M,QM (กลับตัว) 15M,ChoCh (กลับตัว) 1D,ChoCh (กลับตัว) 4H,ChoCh (กลับตัว) 1H,ChoCh (กลับตัว) 30M,ChoCh (กลับตัว) 15M"&amp;",BOS (ไปต่อ) 1D,BOS (ไปต่อ) 4H,BOS (ไปต่อ) 1H,BOS (ไปต่อ) 30M,BOS (ไปต่อ) 15M"</formula1>
    </dataValidation>
    <dataValidation allowBlank="1" showDropDown="1" sqref="P2:P50"/>
    <dataValidation type="list" allowBlank="1" sqref="F2:F50">
      <formula1>"Fibonacci 1D,Fibonacci 4H,Fibonacci 1H,EMA 9 1D,EMA 9 4H,EMA 9 1H,EMA 9 30M,EMA 9 15M,EMA 9 5M,EMA 20 1D,EMA 20 4H,EMA 20 1H,EMA 20 30M,EMA 20 15M,EMA 20 5M,EMA 50 1D,EMA 50 4H,EMA 50 1H,EMA 50 30M,EMA 50 15M,EMA 50 5M,EMA 100 1D,EMA 100 4H,EMA 100 1H,EMA"&amp;" 100 30M,EMA 100 15M,EMA 100 5M,EMA 200 1D,EMA 200 4H,EMA 200 1H,EMA 200 30M,EMA 200 15M,EMA 200 5M,MACDเขียว 1D,MACDเขียว 4H,MACDเขียว 1H,MACDเขียว 30M,MACDเขียว 15M,MACDเขียว 5M,MACDแดง 1D,MACDแดง 4H,MACDแดง 1H,MACDแดง 30M,MACDแดง 15M,MACDแดง 5M,Stochas"&amp;"tic บนเส้น 1D,Stochastic บนเส้น 4H,Stochastic บนเส้น 1H,Stochastic บนเส้น 30M,Stochastic บนเส้น 15M,Stochastic บนเส้น 5M,Stochastic ล่างเส้น 1D,Stochastic ล่างเส้น 4H,Stochastic ล่างเส้น 1H,Stochastic ล่างเส้น 30M,Stochastic ล่างเส้น 15M,Stochastic ล่างเส"&amp;"้น 5M,Stochastic ยกหัวขึ้น 1D,Stochastic ยกหัวขึ้น 4H,Stochastic ยกหัวขึ้น 1H,Stochastic ยกหัวขึ้น 30M,Stochastic ยกหัวขึ้น 15M,Stochastic ยกหัวขึ้น 5M,Stochastic ปักหัวลง 1D,Stochastic ปักหัวลง 4H,Stochastic ปักหัวลง 1H,Stochastic ปักหัวลง 30M,Stochastic"&amp;" ปักหัวลง 15M,Stochastic ปักหัวลง 5M,Stochastic ตัดกัน 1D,Stochastic ตัดกัน 4H,Stochastic ตัดกัน 1H,Stochastic ตัดกัน 30M,Stochastic ตัดกัน 15M,Stochastic ตัดกัน 5M,RSI บนเส้น 1D,RSI บนเส้น 4H,RSI บนเส้น 1H,RSI  บนเส้น 30M,RSI บนเส้น 15M,RSI บนเส้น 5M,RSI"&amp;" ล่างเส้น 1D,RSI ล่างเส้น 4H,RSI ล่างเส้น 1H,RSI ล่างเส้น 30M,RSI ล่างเส้น 15M,RSI ล่างเส้น 5M,RSI ยกหัวขึ้น 1D,RSI ยกหัวขึ้น 4H,RSI ยกหัวขึ้น 1H,RSI ยกหัวขึ้น 30M,RSI ยกหัวขึ้น 15M,RSI ยกหัวขึ้น 5M,RSI ปักหัวลง 1D,RSI ปักหัวลง 4H,RSI ปักหัวลง 1H,RSI ปักห"&amp;"ัวลง 30M,RSI ปักหัวลง 15M,RSI ปักหัวลง 5M,RSI Divergence 1D,RSI Divergence 4H,RSI Divergence 1H,RSI Divergence 30M,RSI Divergence 15M,RSI Divergence 5M"</formula1>
    </dataValidation>
    <dataValidation type="list" allowBlank="1" sqref="G2:G50">
      <formula1>"Take Profit,Stop Loss,SL หน้าทุน"</formula1>
    </dataValidation>
    <dataValidation type="custom" allowBlank="1" showDropDown="1" sqref="H2:H50 L2:L50">
      <formula1>AND(ISNUMBER(H2),(NOT(OR(NOT(ISERROR(DATEVALUE(H2))), AND(ISNUMBER(H2), LEFT(CELL("format", H2))="D")))))</formula1>
    </dataValidation>
    <dataValidation type="list" allowBlank="1" sqref="E2:E50">
      <formula1>"Trend Line ขาขึ้น 1D,Trend Line ขาขึ้น 4H,Trend Line ขาขึ้น 1H,Trend Line ขาขึ้น 30M,Trend Line ขาขึ้น 15M,Trend Line ขาลง 1D,Trend Line ขาลง 4H,Trend Line ขาลง 1H,Trend Line ขาลง 30M,Trend Line ขาลง 15M,ราคาใกล้ Trend Line ขาขึ้น 1D,ราคาใกล้ Trend Line ข"&amp;"าขึ้น 4H,ราคาใกล้ Trend Line ขาขึ้น 1H,ราคาใกล้ Trend Line ขาขึ้น 30M,ราคาใกล้ Trend Line ขาขึ้น 15M,ราคาใกล้ Trend Line ขาลง 1D,ราคาใกล้ Trend Line ขาลง 4H,ราคาใกล้ Trend Line ขาลง 1H,ราคาใกล้ Trend Line ขาลง 30M,ราคาใกล้ Trend Line ขาลง 15M,Demand 1D,De"&amp;"mand 4H,Demand 1H,Demand 30M,Demand 15M,Demand 5M,Supply 1D,Supply 4H,Supply 1H,Supply 30M,Supply 15M,Supply 5M,Hidden Candle(HC) 1D,Hidden Candle(HC) 4H,Hidden Candle(HC) 1H,Hidden Candle(HC) 30M,Hidden Candle(HC) 15 M,Hidden Candle(HC) 5 M,ORDER BLOCK(O"&amp;"B) 1D ,ORDER BLOCK(OB) 4H,ORDER BLOCK(OB) 1H,ORDER BLOCK(OB) 30M,ORDER BLOCK(OB) 15M,Sideway บน,Sideway ล่าง,QM (กลับตัว) 1H,QM (กลับตัว) 30M,QM (กลับตัว) 15M,ChoCh (กลับตัวขึ้น) 1D,ChoCh (กลับตัวขึ้น) 4H,ChoCh (กลับตัวขึ้น) 1H,ChoCh (กลับตัวขึ้น) 30M,Cho"&amp;"Ch (กลับตัวขึ้น) 15M,ChoCh (กลับตัวขึ้น) 5M,ChoCh (กลับตัวขึ้น) 1M,ChoCh (กลับตัวลง) 1D,ChoCh (กลับตัวลง) 4H,ChoCh (กลับตัวลง) 1H,ChoCh (กลับตัวลง) 30M,ChoCh (กลับตัวลง) 15M,ChoCh (กลับตัวลง) 5M,ChoCh (กลับตัวลง) 1M,BOS (ไปต่อ) 1D,BOS (ขึ้นต่อ) 4H,BOS (ขึ"&amp;"้นต่อ) 1H,BOS (ขึ้นต่อ) 30M,BOS (ขึ้นต่อ) 15M,BOS (ขึ้นต่อ) 5M,BOS (ขึ้นต่อ) 1M,BOS (ลงต่อ) 1D,BOS (ลงต่อ) 4H,BOS (ลงต่อ) 1H,BOS (ลงต่อ) 30M,BOS (ลงต่อ) 15M,BOS (ลงต่อ) 5M,BOS (ลงต่อ) 1M,Swing Hight 4H,Swing Hight 1H,Swing Hight 30M,Swing Hight 15M,Swing "&amp;"Hight 5M,Swing Hight 1M,Swing Low 4H,Swing Low 1H,Swing Low 30M,Swing Low 15M,Swing Low 5M,Swing Low 1M,TPT 4H,TPT 1H,TPT 30M,TPT 15M,TPT 5M"</formula1>
    </dataValidation>
    <dataValidation allowBlank="1" showDropDown="1" sqref="N2:O50"/>
    <dataValidation type="list" allowBlank="1" sqref="D2:D50">
      <formula1>"BUY,SELL,Buy Limit,Sell Limit"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outlineLevelRow="1"/>
  <cols>
    <col customWidth="1" min="1" max="1" width="15.22"/>
    <col customWidth="1" min="2" max="2" width="9.67"/>
    <col customWidth="1" min="3" max="3" width="12.89"/>
    <col customWidth="1" min="4" max="4" width="11.56"/>
    <col customWidth="1" min="5" max="5" width="12.33"/>
    <col customWidth="1" min="6" max="6" width="13.0"/>
    <col customWidth="1" min="7" max="7" width="12.56"/>
    <col customWidth="1" min="8" max="8" width="10.89"/>
    <col customWidth="1" min="9" max="9" width="22.89"/>
    <col customWidth="1" min="10" max="10" width="17.22"/>
    <col customWidth="1" min="11" max="11" width="13.89"/>
    <col customWidth="1" min="12" max="12" width="17.56"/>
  </cols>
  <sheetData>
    <row r="1">
      <c r="A1" s="57" t="s">
        <v>23</v>
      </c>
      <c r="B1" s="58">
        <v>50.0</v>
      </c>
      <c r="D1" s="57" t="s">
        <v>24</v>
      </c>
      <c r="E1" s="59">
        <f>(F1/B1)*100</f>
        <v>-100</v>
      </c>
      <c r="F1" s="60">
        <f>L415-B1</f>
        <v>-50</v>
      </c>
      <c r="G1" s="61"/>
      <c r="H1" s="62" t="s">
        <v>25</v>
      </c>
      <c r="I1" s="63">
        <f>K105</f>
        <v>50</v>
      </c>
      <c r="J1" s="64"/>
      <c r="K1" s="64"/>
      <c r="L1" s="64"/>
      <c r="M1" s="65"/>
      <c r="N1" s="65"/>
      <c r="O1" s="65"/>
      <c r="P1" s="65"/>
      <c r="Q1" s="65"/>
      <c r="R1" s="65"/>
      <c r="S1" s="65"/>
      <c r="T1" s="65"/>
      <c r="U1" s="65"/>
      <c r="V1" s="65"/>
      <c r="W1" s="65"/>
      <c r="X1" s="65"/>
      <c r="Y1" s="65"/>
      <c r="Z1" s="66"/>
      <c r="AA1" s="66"/>
      <c r="AB1" s="66"/>
    </row>
    <row r="2">
      <c r="A2" s="57" t="s">
        <v>26</v>
      </c>
      <c r="B2" s="67">
        <v>500.0</v>
      </c>
      <c r="G2" s="61"/>
      <c r="H2" s="68"/>
      <c r="I2" s="68"/>
      <c r="J2" s="69"/>
      <c r="K2" s="69"/>
      <c r="L2" s="69"/>
      <c r="M2" s="65"/>
      <c r="N2" s="65"/>
      <c r="O2" s="65"/>
      <c r="P2" s="65"/>
      <c r="Q2" s="65"/>
      <c r="R2" s="65"/>
      <c r="S2" s="65"/>
      <c r="T2" s="65"/>
      <c r="U2" s="65"/>
      <c r="V2" s="65"/>
      <c r="W2" s="65"/>
      <c r="X2" s="65"/>
      <c r="Y2" s="65"/>
      <c r="Z2" s="66"/>
      <c r="AA2" s="66"/>
      <c r="AB2" s="66"/>
    </row>
    <row r="3">
      <c r="A3" s="57" t="s">
        <v>27</v>
      </c>
      <c r="M3" s="70"/>
      <c r="N3" s="65"/>
      <c r="O3" s="65"/>
      <c r="P3" s="65"/>
      <c r="Q3" s="65"/>
      <c r="R3" s="65"/>
      <c r="S3" s="65"/>
      <c r="T3" s="65"/>
      <c r="U3" s="65"/>
      <c r="V3" s="65"/>
      <c r="W3" s="65"/>
      <c r="X3" s="65"/>
      <c r="Y3" s="65"/>
      <c r="Z3" s="66"/>
      <c r="AA3" s="66"/>
      <c r="AB3" s="66"/>
    </row>
    <row r="4" collapsed="1">
      <c r="A4" s="57" t="s">
        <v>28</v>
      </c>
      <c r="M4" s="70"/>
      <c r="N4" s="65"/>
      <c r="O4" s="65"/>
      <c r="P4" s="65"/>
      <c r="Q4" s="65"/>
      <c r="R4" s="65"/>
      <c r="S4" s="65"/>
      <c r="T4" s="65"/>
      <c r="U4" s="65"/>
      <c r="V4" s="65"/>
      <c r="W4" s="65"/>
      <c r="X4" s="65"/>
      <c r="Y4" s="65"/>
      <c r="Z4" s="66"/>
      <c r="AA4" s="66"/>
      <c r="AB4" s="66"/>
    </row>
    <row r="5" hidden="1" outlineLevel="1">
      <c r="A5" s="71" t="s">
        <v>29</v>
      </c>
      <c r="B5" s="57" t="s">
        <v>30</v>
      </c>
      <c r="C5" s="57" t="s">
        <v>31</v>
      </c>
      <c r="D5" s="72" t="s">
        <v>32</v>
      </c>
      <c r="E5" s="72" t="s">
        <v>33</v>
      </c>
      <c r="F5" s="72" t="s">
        <v>34</v>
      </c>
      <c r="G5" s="73" t="s">
        <v>35</v>
      </c>
      <c r="H5" s="72" t="s">
        <v>36</v>
      </c>
      <c r="I5" s="57" t="s">
        <v>37</v>
      </c>
      <c r="J5" s="74" t="s">
        <v>38</v>
      </c>
      <c r="K5" s="57" t="s">
        <v>39</v>
      </c>
      <c r="L5" s="57" t="s">
        <v>40</v>
      </c>
      <c r="M5" s="70"/>
      <c r="N5" s="65"/>
      <c r="O5" s="65"/>
      <c r="P5" s="65"/>
      <c r="Q5" s="65"/>
      <c r="R5" s="65"/>
      <c r="S5" s="65"/>
      <c r="T5" s="65"/>
      <c r="U5" s="65"/>
      <c r="V5" s="65"/>
      <c r="W5" s="65"/>
      <c r="X5" s="65"/>
      <c r="Y5" s="65"/>
      <c r="Z5" s="66"/>
      <c r="AA5" s="66"/>
      <c r="AB5" s="66"/>
    </row>
    <row r="6" hidden="1" outlineLevel="1">
      <c r="A6" s="71">
        <v>46023.0</v>
      </c>
      <c r="B6" s="74">
        <v>0.1</v>
      </c>
      <c r="C6" s="75">
        <v>0.1</v>
      </c>
      <c r="D6" s="76">
        <v>0.05</v>
      </c>
      <c r="E6" s="77">
        <v>2.0</v>
      </c>
      <c r="F6" s="78">
        <f t="shared" ref="F6:F36" si="1">H6/B6</f>
        <v>25</v>
      </c>
      <c r="G6" s="79">
        <f>B1*C6</f>
        <v>5</v>
      </c>
      <c r="H6" s="80">
        <f>B1*D6</f>
        <v>2.5</v>
      </c>
      <c r="I6" s="81">
        <f>(J6/B1)*100</f>
        <v>0</v>
      </c>
      <c r="J6" s="82"/>
      <c r="K6" s="83"/>
      <c r="L6" s="84">
        <f>(B1+J6)-K6</f>
        <v>50</v>
      </c>
      <c r="M6" s="70"/>
      <c r="N6" s="65"/>
      <c r="O6" s="65"/>
      <c r="P6" s="65"/>
      <c r="Q6" s="65"/>
      <c r="R6" s="65"/>
      <c r="S6" s="65"/>
      <c r="T6" s="65"/>
      <c r="U6" s="65"/>
      <c r="V6" s="65"/>
      <c r="W6" s="65"/>
      <c r="X6" s="65"/>
      <c r="Y6" s="65"/>
      <c r="Z6" s="66"/>
      <c r="AA6" s="66"/>
      <c r="AB6" s="66"/>
    </row>
    <row r="7" hidden="1" outlineLevel="1">
      <c r="A7" s="71">
        <v>46024.0</v>
      </c>
      <c r="B7" s="74">
        <v>0.1</v>
      </c>
      <c r="C7" s="75"/>
      <c r="D7" s="76"/>
      <c r="E7" s="77">
        <v>2.0</v>
      </c>
      <c r="F7" s="78">
        <f t="shared" si="1"/>
        <v>0</v>
      </c>
      <c r="G7" s="79">
        <f t="shared" ref="G7:G36" si="2">L6*C7</f>
        <v>0</v>
      </c>
      <c r="H7" s="80">
        <f t="shared" ref="H7:H36" si="3">L6*D7</f>
        <v>0</v>
      </c>
      <c r="I7" s="81">
        <f t="shared" ref="I7:I36" si="4">(J7/L6)*100</f>
        <v>0</v>
      </c>
      <c r="J7" s="82"/>
      <c r="K7" s="83"/>
      <c r="L7" s="84">
        <f t="shared" ref="L7:L36" si="5">(L6+J7)-K7</f>
        <v>50</v>
      </c>
      <c r="M7" s="70"/>
      <c r="N7" s="65"/>
      <c r="O7" s="65"/>
      <c r="P7" s="65"/>
      <c r="Q7" s="65"/>
      <c r="R7" s="65"/>
      <c r="S7" s="65"/>
      <c r="T7" s="65"/>
      <c r="U7" s="65"/>
      <c r="V7" s="65"/>
      <c r="W7" s="65"/>
      <c r="X7" s="65"/>
      <c r="Y7" s="65"/>
      <c r="Z7" s="66"/>
      <c r="AA7" s="66"/>
      <c r="AB7" s="66"/>
    </row>
    <row r="8" hidden="1" outlineLevel="1">
      <c r="A8" s="71">
        <v>46025.0</v>
      </c>
      <c r="B8" s="74">
        <v>0.1</v>
      </c>
      <c r="C8" s="75"/>
      <c r="D8" s="76"/>
      <c r="E8" s="77">
        <v>2.0</v>
      </c>
      <c r="F8" s="78">
        <f t="shared" si="1"/>
        <v>0</v>
      </c>
      <c r="G8" s="79">
        <f t="shared" si="2"/>
        <v>0</v>
      </c>
      <c r="H8" s="80">
        <f t="shared" si="3"/>
        <v>0</v>
      </c>
      <c r="I8" s="81">
        <f t="shared" si="4"/>
        <v>0</v>
      </c>
      <c r="J8" s="82"/>
      <c r="K8" s="83"/>
      <c r="L8" s="84">
        <f t="shared" si="5"/>
        <v>50</v>
      </c>
      <c r="M8" s="70"/>
      <c r="N8" s="65"/>
      <c r="O8" s="65"/>
      <c r="P8" s="65"/>
      <c r="Q8" s="65"/>
      <c r="R8" s="65"/>
      <c r="S8" s="65"/>
      <c r="T8" s="65"/>
      <c r="U8" s="65"/>
      <c r="V8" s="65"/>
      <c r="W8" s="65"/>
      <c r="X8" s="65"/>
      <c r="Y8" s="65"/>
      <c r="Z8" s="66"/>
      <c r="AA8" s="66"/>
      <c r="AB8" s="66"/>
    </row>
    <row r="9" hidden="1" outlineLevel="1">
      <c r="A9" s="71">
        <v>46026.0</v>
      </c>
      <c r="B9" s="74">
        <v>0.1</v>
      </c>
      <c r="C9" s="75"/>
      <c r="D9" s="76"/>
      <c r="E9" s="77">
        <v>2.0</v>
      </c>
      <c r="F9" s="78">
        <f t="shared" si="1"/>
        <v>0</v>
      </c>
      <c r="G9" s="79">
        <f t="shared" si="2"/>
        <v>0</v>
      </c>
      <c r="H9" s="80">
        <f t="shared" si="3"/>
        <v>0</v>
      </c>
      <c r="I9" s="81">
        <f t="shared" si="4"/>
        <v>0</v>
      </c>
      <c r="J9" s="82"/>
      <c r="K9" s="83"/>
      <c r="L9" s="84">
        <f t="shared" si="5"/>
        <v>50</v>
      </c>
      <c r="M9" s="70"/>
      <c r="N9" s="65"/>
      <c r="O9" s="65"/>
      <c r="P9" s="65"/>
      <c r="Q9" s="65"/>
      <c r="R9" s="65"/>
      <c r="S9" s="65"/>
      <c r="T9" s="65"/>
      <c r="U9" s="65"/>
      <c r="V9" s="65"/>
      <c r="W9" s="65"/>
      <c r="X9" s="65"/>
      <c r="Y9" s="65"/>
      <c r="Z9" s="66"/>
      <c r="AA9" s="66"/>
      <c r="AB9" s="66"/>
    </row>
    <row r="10" hidden="1" outlineLevel="1">
      <c r="A10" s="71">
        <v>46027.0</v>
      </c>
      <c r="B10" s="74">
        <v>0.1</v>
      </c>
      <c r="C10" s="75"/>
      <c r="D10" s="76"/>
      <c r="E10" s="77">
        <v>2.0</v>
      </c>
      <c r="F10" s="78">
        <f t="shared" si="1"/>
        <v>0</v>
      </c>
      <c r="G10" s="79">
        <f t="shared" si="2"/>
        <v>0</v>
      </c>
      <c r="H10" s="80">
        <f t="shared" si="3"/>
        <v>0</v>
      </c>
      <c r="I10" s="81">
        <f t="shared" si="4"/>
        <v>0</v>
      </c>
      <c r="J10" s="82"/>
      <c r="K10" s="83"/>
      <c r="L10" s="84">
        <f t="shared" si="5"/>
        <v>50</v>
      </c>
      <c r="M10" s="70"/>
      <c r="N10" s="65"/>
      <c r="O10" s="65"/>
      <c r="P10" s="65"/>
      <c r="Q10" s="65"/>
      <c r="R10" s="65"/>
      <c r="S10" s="65"/>
      <c r="T10" s="65"/>
      <c r="U10" s="65"/>
      <c r="V10" s="65"/>
      <c r="W10" s="65"/>
      <c r="X10" s="65"/>
      <c r="Y10" s="65"/>
      <c r="Z10" s="66"/>
      <c r="AA10" s="66"/>
      <c r="AB10" s="66"/>
    </row>
    <row r="11" hidden="1" outlineLevel="1">
      <c r="A11" s="71">
        <v>46028.0</v>
      </c>
      <c r="B11" s="74">
        <v>0.1</v>
      </c>
      <c r="C11" s="75"/>
      <c r="D11" s="76"/>
      <c r="E11" s="77">
        <v>2.0</v>
      </c>
      <c r="F11" s="78">
        <f t="shared" si="1"/>
        <v>0</v>
      </c>
      <c r="G11" s="79">
        <f t="shared" si="2"/>
        <v>0</v>
      </c>
      <c r="H11" s="80">
        <f t="shared" si="3"/>
        <v>0</v>
      </c>
      <c r="I11" s="81">
        <f t="shared" si="4"/>
        <v>0</v>
      </c>
      <c r="J11" s="82"/>
      <c r="K11" s="83"/>
      <c r="L11" s="84">
        <f t="shared" si="5"/>
        <v>50</v>
      </c>
      <c r="M11" s="70"/>
      <c r="N11" s="65"/>
      <c r="O11" s="65"/>
      <c r="P11" s="65"/>
      <c r="Q11" s="65"/>
      <c r="R11" s="65"/>
      <c r="S11" s="65"/>
      <c r="T11" s="65"/>
      <c r="U11" s="65"/>
      <c r="V11" s="65"/>
      <c r="W11" s="65"/>
      <c r="X11" s="65"/>
      <c r="Y11" s="65"/>
      <c r="Z11" s="66"/>
      <c r="AA11" s="66"/>
      <c r="AB11" s="66"/>
    </row>
    <row r="12" hidden="1" outlineLevel="1">
      <c r="A12" s="71">
        <v>46029.0</v>
      </c>
      <c r="B12" s="74">
        <v>0.1</v>
      </c>
      <c r="C12" s="75"/>
      <c r="D12" s="76"/>
      <c r="E12" s="77">
        <v>2.0</v>
      </c>
      <c r="F12" s="78">
        <f t="shared" si="1"/>
        <v>0</v>
      </c>
      <c r="G12" s="79">
        <f t="shared" si="2"/>
        <v>0</v>
      </c>
      <c r="H12" s="80">
        <f t="shared" si="3"/>
        <v>0</v>
      </c>
      <c r="I12" s="81">
        <f t="shared" si="4"/>
        <v>0</v>
      </c>
      <c r="J12" s="82"/>
      <c r="K12" s="83"/>
      <c r="L12" s="84">
        <f t="shared" si="5"/>
        <v>50</v>
      </c>
      <c r="M12" s="70"/>
      <c r="N12" s="65"/>
      <c r="O12" s="65"/>
      <c r="P12" s="65"/>
      <c r="Q12" s="65"/>
      <c r="R12" s="65"/>
      <c r="S12" s="65"/>
      <c r="T12" s="65"/>
      <c r="U12" s="65"/>
      <c r="V12" s="65"/>
      <c r="W12" s="65"/>
      <c r="X12" s="65"/>
      <c r="Y12" s="65"/>
      <c r="Z12" s="66"/>
      <c r="AA12" s="66"/>
      <c r="AB12" s="66"/>
    </row>
    <row r="13" hidden="1" outlineLevel="1">
      <c r="A13" s="71">
        <v>46030.0</v>
      </c>
      <c r="B13" s="74">
        <v>0.1</v>
      </c>
      <c r="C13" s="75"/>
      <c r="D13" s="76"/>
      <c r="E13" s="77">
        <v>2.0</v>
      </c>
      <c r="F13" s="78">
        <f t="shared" si="1"/>
        <v>0</v>
      </c>
      <c r="G13" s="79">
        <f t="shared" si="2"/>
        <v>0</v>
      </c>
      <c r="H13" s="80">
        <f t="shared" si="3"/>
        <v>0</v>
      </c>
      <c r="I13" s="81">
        <f t="shared" si="4"/>
        <v>0</v>
      </c>
      <c r="J13" s="82"/>
      <c r="K13" s="83"/>
      <c r="L13" s="84">
        <f t="shared" si="5"/>
        <v>50</v>
      </c>
      <c r="M13" s="70"/>
      <c r="N13" s="65"/>
      <c r="O13" s="65"/>
      <c r="P13" s="65"/>
      <c r="Q13" s="65"/>
      <c r="R13" s="65"/>
      <c r="S13" s="65"/>
      <c r="T13" s="65"/>
      <c r="U13" s="65"/>
      <c r="V13" s="65"/>
      <c r="W13" s="65"/>
      <c r="X13" s="65"/>
      <c r="Y13" s="65"/>
      <c r="Z13" s="66"/>
      <c r="AA13" s="66"/>
      <c r="AB13" s="66"/>
    </row>
    <row r="14" hidden="1" outlineLevel="1">
      <c r="A14" s="71">
        <v>46031.0</v>
      </c>
      <c r="B14" s="74">
        <v>0.1</v>
      </c>
      <c r="C14" s="75"/>
      <c r="D14" s="76"/>
      <c r="E14" s="77">
        <v>2.0</v>
      </c>
      <c r="F14" s="78">
        <f t="shared" si="1"/>
        <v>0</v>
      </c>
      <c r="G14" s="79">
        <f t="shared" si="2"/>
        <v>0</v>
      </c>
      <c r="H14" s="80">
        <f t="shared" si="3"/>
        <v>0</v>
      </c>
      <c r="I14" s="81">
        <f t="shared" si="4"/>
        <v>0</v>
      </c>
      <c r="J14" s="82"/>
      <c r="K14" s="83"/>
      <c r="L14" s="84">
        <f t="shared" si="5"/>
        <v>50</v>
      </c>
      <c r="M14" s="70"/>
      <c r="N14" s="65"/>
      <c r="O14" s="65"/>
      <c r="P14" s="65"/>
      <c r="Q14" s="65"/>
      <c r="R14" s="65"/>
      <c r="S14" s="65"/>
      <c r="T14" s="65"/>
      <c r="U14" s="65"/>
      <c r="V14" s="65"/>
      <c r="W14" s="65"/>
      <c r="X14" s="65"/>
      <c r="Y14" s="65"/>
      <c r="Z14" s="66"/>
      <c r="AA14" s="66"/>
      <c r="AB14" s="66"/>
    </row>
    <row r="15" hidden="1" outlineLevel="1">
      <c r="A15" s="71">
        <v>46032.0</v>
      </c>
      <c r="B15" s="74">
        <v>0.1</v>
      </c>
      <c r="C15" s="75"/>
      <c r="D15" s="76"/>
      <c r="E15" s="77">
        <v>2.0</v>
      </c>
      <c r="F15" s="78">
        <f t="shared" si="1"/>
        <v>0</v>
      </c>
      <c r="G15" s="79">
        <f t="shared" si="2"/>
        <v>0</v>
      </c>
      <c r="H15" s="80">
        <f t="shared" si="3"/>
        <v>0</v>
      </c>
      <c r="I15" s="81">
        <f t="shared" si="4"/>
        <v>0</v>
      </c>
      <c r="J15" s="82"/>
      <c r="K15" s="83"/>
      <c r="L15" s="84">
        <f t="shared" si="5"/>
        <v>50</v>
      </c>
      <c r="M15" s="70"/>
      <c r="N15" s="65"/>
      <c r="O15" s="65"/>
      <c r="P15" s="65"/>
      <c r="Q15" s="65"/>
      <c r="R15" s="65"/>
      <c r="S15" s="65"/>
      <c r="T15" s="65"/>
      <c r="U15" s="65"/>
      <c r="V15" s="65"/>
      <c r="W15" s="65"/>
      <c r="X15" s="65"/>
      <c r="Y15" s="65"/>
      <c r="Z15" s="66"/>
      <c r="AA15" s="66"/>
      <c r="AB15" s="66"/>
    </row>
    <row r="16" hidden="1" outlineLevel="1">
      <c r="A16" s="71">
        <v>46033.0</v>
      </c>
      <c r="B16" s="74">
        <v>0.1</v>
      </c>
      <c r="C16" s="75"/>
      <c r="D16" s="76"/>
      <c r="E16" s="77">
        <v>2.0</v>
      </c>
      <c r="F16" s="78">
        <f t="shared" si="1"/>
        <v>0</v>
      </c>
      <c r="G16" s="79">
        <f t="shared" si="2"/>
        <v>0</v>
      </c>
      <c r="H16" s="80">
        <f t="shared" si="3"/>
        <v>0</v>
      </c>
      <c r="I16" s="81">
        <f t="shared" si="4"/>
        <v>0</v>
      </c>
      <c r="J16" s="82"/>
      <c r="K16" s="83"/>
      <c r="L16" s="84">
        <f t="shared" si="5"/>
        <v>50</v>
      </c>
      <c r="M16" s="70"/>
      <c r="N16" s="65"/>
      <c r="O16" s="65"/>
      <c r="P16" s="65"/>
      <c r="Q16" s="65"/>
      <c r="R16" s="65"/>
      <c r="S16" s="65"/>
      <c r="T16" s="65"/>
      <c r="U16" s="65"/>
      <c r="V16" s="65"/>
      <c r="W16" s="65"/>
      <c r="X16" s="65"/>
      <c r="Y16" s="65"/>
      <c r="Z16" s="66"/>
      <c r="AA16" s="66"/>
      <c r="AB16" s="66"/>
    </row>
    <row r="17" hidden="1" outlineLevel="1">
      <c r="A17" s="71">
        <v>46034.0</v>
      </c>
      <c r="B17" s="74">
        <v>0.1</v>
      </c>
      <c r="C17" s="75"/>
      <c r="D17" s="76"/>
      <c r="E17" s="77">
        <v>2.0</v>
      </c>
      <c r="F17" s="78">
        <f t="shared" si="1"/>
        <v>0</v>
      </c>
      <c r="G17" s="79">
        <f t="shared" si="2"/>
        <v>0</v>
      </c>
      <c r="H17" s="80">
        <f t="shared" si="3"/>
        <v>0</v>
      </c>
      <c r="I17" s="81">
        <f t="shared" si="4"/>
        <v>0</v>
      </c>
      <c r="J17" s="82"/>
      <c r="K17" s="83"/>
      <c r="L17" s="84">
        <f t="shared" si="5"/>
        <v>50</v>
      </c>
      <c r="M17" s="70"/>
      <c r="N17" s="65"/>
      <c r="O17" s="65"/>
      <c r="P17" s="65"/>
      <c r="Q17" s="65"/>
      <c r="R17" s="65"/>
      <c r="S17" s="65"/>
      <c r="T17" s="65"/>
      <c r="U17" s="65"/>
      <c r="V17" s="65"/>
      <c r="W17" s="65"/>
      <c r="X17" s="65"/>
      <c r="Y17" s="65"/>
      <c r="Z17" s="66"/>
      <c r="AA17" s="66"/>
      <c r="AB17" s="66"/>
    </row>
    <row r="18" hidden="1" outlineLevel="1">
      <c r="A18" s="71">
        <v>46035.0</v>
      </c>
      <c r="B18" s="74">
        <v>0.1</v>
      </c>
      <c r="C18" s="75"/>
      <c r="D18" s="76"/>
      <c r="E18" s="77">
        <v>2.0</v>
      </c>
      <c r="F18" s="78">
        <f t="shared" si="1"/>
        <v>0</v>
      </c>
      <c r="G18" s="79">
        <f t="shared" si="2"/>
        <v>0</v>
      </c>
      <c r="H18" s="80">
        <f t="shared" si="3"/>
        <v>0</v>
      </c>
      <c r="I18" s="81">
        <f t="shared" si="4"/>
        <v>0</v>
      </c>
      <c r="J18" s="82"/>
      <c r="K18" s="83"/>
      <c r="L18" s="84">
        <f t="shared" si="5"/>
        <v>50</v>
      </c>
      <c r="M18" s="70"/>
      <c r="N18" s="65"/>
      <c r="O18" s="65"/>
      <c r="P18" s="65"/>
      <c r="Q18" s="65"/>
      <c r="R18" s="65"/>
      <c r="S18" s="65"/>
      <c r="T18" s="65"/>
      <c r="U18" s="65"/>
      <c r="V18" s="65"/>
      <c r="W18" s="65"/>
      <c r="X18" s="65"/>
      <c r="Y18" s="65"/>
      <c r="Z18" s="66"/>
      <c r="AA18" s="66"/>
      <c r="AB18" s="66"/>
    </row>
    <row r="19" hidden="1" outlineLevel="1">
      <c r="A19" s="71">
        <v>46036.0</v>
      </c>
      <c r="B19" s="74">
        <v>0.1</v>
      </c>
      <c r="C19" s="75"/>
      <c r="D19" s="76"/>
      <c r="E19" s="77">
        <v>2.0</v>
      </c>
      <c r="F19" s="78">
        <f t="shared" si="1"/>
        <v>0</v>
      </c>
      <c r="G19" s="79">
        <f t="shared" si="2"/>
        <v>0</v>
      </c>
      <c r="H19" s="80">
        <f t="shared" si="3"/>
        <v>0</v>
      </c>
      <c r="I19" s="81">
        <f t="shared" si="4"/>
        <v>0</v>
      </c>
      <c r="J19" s="82"/>
      <c r="K19" s="83"/>
      <c r="L19" s="84">
        <f t="shared" si="5"/>
        <v>50</v>
      </c>
      <c r="M19" s="70"/>
      <c r="N19" s="65"/>
      <c r="O19" s="65"/>
      <c r="P19" s="65"/>
      <c r="Q19" s="65"/>
      <c r="R19" s="65"/>
      <c r="S19" s="65"/>
      <c r="T19" s="65"/>
      <c r="U19" s="65"/>
      <c r="V19" s="65"/>
      <c r="W19" s="65"/>
      <c r="X19" s="65"/>
      <c r="Y19" s="65"/>
      <c r="Z19" s="66"/>
      <c r="AA19" s="66"/>
      <c r="AB19" s="66"/>
    </row>
    <row r="20" hidden="1" outlineLevel="1">
      <c r="A20" s="71">
        <v>46037.0</v>
      </c>
      <c r="B20" s="74">
        <v>0.1</v>
      </c>
      <c r="C20" s="75"/>
      <c r="D20" s="76"/>
      <c r="E20" s="77">
        <v>2.0</v>
      </c>
      <c r="F20" s="78">
        <f t="shared" si="1"/>
        <v>0</v>
      </c>
      <c r="G20" s="79">
        <f t="shared" si="2"/>
        <v>0</v>
      </c>
      <c r="H20" s="80">
        <f t="shared" si="3"/>
        <v>0</v>
      </c>
      <c r="I20" s="81">
        <f t="shared" si="4"/>
        <v>0</v>
      </c>
      <c r="J20" s="82"/>
      <c r="K20" s="83"/>
      <c r="L20" s="84">
        <f t="shared" si="5"/>
        <v>50</v>
      </c>
      <c r="M20" s="70"/>
      <c r="N20" s="65"/>
      <c r="O20" s="65"/>
      <c r="P20" s="65"/>
      <c r="Q20" s="65"/>
      <c r="R20" s="65"/>
      <c r="S20" s="65"/>
      <c r="T20" s="65"/>
      <c r="U20" s="65"/>
      <c r="V20" s="65"/>
      <c r="W20" s="65"/>
      <c r="X20" s="65"/>
      <c r="Y20" s="65"/>
      <c r="Z20" s="66"/>
      <c r="AA20" s="66"/>
      <c r="AB20" s="66"/>
    </row>
    <row r="21" hidden="1" outlineLevel="1">
      <c r="A21" s="71">
        <v>46038.0</v>
      </c>
      <c r="B21" s="74">
        <v>0.1</v>
      </c>
      <c r="C21" s="75"/>
      <c r="D21" s="76"/>
      <c r="E21" s="77">
        <v>2.0</v>
      </c>
      <c r="F21" s="78">
        <f t="shared" si="1"/>
        <v>0</v>
      </c>
      <c r="G21" s="79">
        <f t="shared" si="2"/>
        <v>0</v>
      </c>
      <c r="H21" s="80">
        <f t="shared" si="3"/>
        <v>0</v>
      </c>
      <c r="I21" s="81">
        <f t="shared" si="4"/>
        <v>0</v>
      </c>
      <c r="J21" s="82"/>
      <c r="K21" s="83"/>
      <c r="L21" s="84">
        <f t="shared" si="5"/>
        <v>50</v>
      </c>
      <c r="M21" s="70"/>
      <c r="N21" s="65"/>
      <c r="O21" s="65"/>
      <c r="P21" s="65"/>
      <c r="Q21" s="65"/>
      <c r="R21" s="65"/>
      <c r="S21" s="65"/>
      <c r="T21" s="65"/>
      <c r="U21" s="65"/>
      <c r="V21" s="65"/>
      <c r="W21" s="65"/>
      <c r="X21" s="65"/>
      <c r="Y21" s="65"/>
      <c r="Z21" s="66"/>
      <c r="AA21" s="66"/>
      <c r="AB21" s="66"/>
    </row>
    <row r="22" hidden="1" outlineLevel="1">
      <c r="A22" s="71">
        <v>46039.0</v>
      </c>
      <c r="B22" s="74">
        <v>0.1</v>
      </c>
      <c r="C22" s="75"/>
      <c r="D22" s="76"/>
      <c r="E22" s="77">
        <v>2.0</v>
      </c>
      <c r="F22" s="78">
        <f t="shared" si="1"/>
        <v>0</v>
      </c>
      <c r="G22" s="79">
        <f t="shared" si="2"/>
        <v>0</v>
      </c>
      <c r="H22" s="80">
        <f t="shared" si="3"/>
        <v>0</v>
      </c>
      <c r="I22" s="81">
        <f t="shared" si="4"/>
        <v>0</v>
      </c>
      <c r="J22" s="82"/>
      <c r="K22" s="83"/>
      <c r="L22" s="84">
        <f t="shared" si="5"/>
        <v>50</v>
      </c>
      <c r="M22" s="70"/>
      <c r="N22" s="65"/>
      <c r="O22" s="65"/>
      <c r="P22" s="65"/>
      <c r="Q22" s="65"/>
      <c r="R22" s="65"/>
      <c r="S22" s="65"/>
      <c r="T22" s="65"/>
      <c r="U22" s="65"/>
      <c r="V22" s="65"/>
      <c r="W22" s="65"/>
      <c r="X22" s="65"/>
      <c r="Y22" s="65"/>
      <c r="Z22" s="66"/>
      <c r="AA22" s="66"/>
      <c r="AB22" s="66"/>
    </row>
    <row r="23" hidden="1" outlineLevel="1">
      <c r="A23" s="71">
        <v>46040.0</v>
      </c>
      <c r="B23" s="74">
        <v>0.1</v>
      </c>
      <c r="C23" s="75"/>
      <c r="D23" s="76"/>
      <c r="E23" s="77">
        <v>2.0</v>
      </c>
      <c r="F23" s="78">
        <f t="shared" si="1"/>
        <v>0</v>
      </c>
      <c r="G23" s="79">
        <f t="shared" si="2"/>
        <v>0</v>
      </c>
      <c r="H23" s="80">
        <f t="shared" si="3"/>
        <v>0</v>
      </c>
      <c r="I23" s="81">
        <f t="shared" si="4"/>
        <v>0</v>
      </c>
      <c r="J23" s="82"/>
      <c r="K23" s="83"/>
      <c r="L23" s="84">
        <f t="shared" si="5"/>
        <v>50</v>
      </c>
      <c r="M23" s="70"/>
      <c r="N23" s="65"/>
      <c r="O23" s="65"/>
      <c r="P23" s="65"/>
      <c r="Q23" s="65"/>
      <c r="R23" s="65"/>
      <c r="S23" s="65"/>
      <c r="T23" s="65"/>
      <c r="U23" s="65"/>
      <c r="V23" s="65"/>
      <c r="W23" s="65"/>
      <c r="X23" s="65"/>
      <c r="Y23" s="65"/>
      <c r="Z23" s="66"/>
      <c r="AA23" s="66"/>
      <c r="AB23" s="66"/>
    </row>
    <row r="24" hidden="1" outlineLevel="1">
      <c r="A24" s="71">
        <v>46041.0</v>
      </c>
      <c r="B24" s="74">
        <v>0.1</v>
      </c>
      <c r="C24" s="75"/>
      <c r="D24" s="76"/>
      <c r="E24" s="77">
        <v>2.0</v>
      </c>
      <c r="F24" s="78">
        <f t="shared" si="1"/>
        <v>0</v>
      </c>
      <c r="G24" s="79">
        <f t="shared" si="2"/>
        <v>0</v>
      </c>
      <c r="H24" s="80">
        <f t="shared" si="3"/>
        <v>0</v>
      </c>
      <c r="I24" s="81">
        <f t="shared" si="4"/>
        <v>0</v>
      </c>
      <c r="J24" s="82"/>
      <c r="K24" s="83"/>
      <c r="L24" s="84">
        <f t="shared" si="5"/>
        <v>50</v>
      </c>
      <c r="M24" s="70"/>
      <c r="N24" s="65"/>
      <c r="O24" s="65"/>
      <c r="P24" s="65"/>
      <c r="Q24" s="65"/>
      <c r="R24" s="65"/>
      <c r="S24" s="65"/>
      <c r="T24" s="65"/>
      <c r="U24" s="65"/>
      <c r="V24" s="65"/>
      <c r="W24" s="65"/>
      <c r="X24" s="65"/>
      <c r="Y24" s="65"/>
      <c r="Z24" s="66"/>
      <c r="AA24" s="66"/>
      <c r="AB24" s="66"/>
    </row>
    <row r="25" hidden="1" outlineLevel="1">
      <c r="A25" s="71">
        <v>46042.0</v>
      </c>
      <c r="B25" s="74">
        <v>0.1</v>
      </c>
      <c r="C25" s="75"/>
      <c r="D25" s="76"/>
      <c r="E25" s="77">
        <v>2.0</v>
      </c>
      <c r="F25" s="78">
        <f t="shared" si="1"/>
        <v>0</v>
      </c>
      <c r="G25" s="79">
        <f t="shared" si="2"/>
        <v>0</v>
      </c>
      <c r="H25" s="80">
        <f t="shared" si="3"/>
        <v>0</v>
      </c>
      <c r="I25" s="81">
        <f t="shared" si="4"/>
        <v>0</v>
      </c>
      <c r="J25" s="82"/>
      <c r="K25" s="83"/>
      <c r="L25" s="84">
        <f t="shared" si="5"/>
        <v>50</v>
      </c>
      <c r="M25" s="70"/>
      <c r="N25" s="65"/>
      <c r="O25" s="65"/>
      <c r="P25" s="65"/>
      <c r="Q25" s="65"/>
      <c r="R25" s="65"/>
      <c r="S25" s="65"/>
      <c r="T25" s="65"/>
      <c r="U25" s="65"/>
      <c r="V25" s="65"/>
      <c r="W25" s="65"/>
      <c r="X25" s="65"/>
      <c r="Y25" s="65"/>
      <c r="Z25" s="66"/>
      <c r="AA25" s="66"/>
      <c r="AB25" s="66"/>
    </row>
    <row r="26" hidden="1" outlineLevel="1">
      <c r="A26" s="71">
        <v>46043.0</v>
      </c>
      <c r="B26" s="74">
        <v>0.1</v>
      </c>
      <c r="C26" s="75"/>
      <c r="D26" s="76"/>
      <c r="E26" s="77">
        <v>2.0</v>
      </c>
      <c r="F26" s="78">
        <f t="shared" si="1"/>
        <v>0</v>
      </c>
      <c r="G26" s="79">
        <f t="shared" si="2"/>
        <v>0</v>
      </c>
      <c r="H26" s="80">
        <f t="shared" si="3"/>
        <v>0</v>
      </c>
      <c r="I26" s="81">
        <f t="shared" si="4"/>
        <v>0</v>
      </c>
      <c r="J26" s="82"/>
      <c r="K26" s="83"/>
      <c r="L26" s="84">
        <f t="shared" si="5"/>
        <v>50</v>
      </c>
      <c r="M26" s="70"/>
      <c r="N26" s="65"/>
      <c r="O26" s="65"/>
      <c r="P26" s="65"/>
      <c r="Q26" s="65"/>
      <c r="R26" s="65"/>
      <c r="S26" s="65"/>
      <c r="T26" s="65"/>
      <c r="U26" s="65"/>
      <c r="V26" s="65"/>
      <c r="W26" s="65"/>
      <c r="X26" s="65"/>
      <c r="Y26" s="65"/>
      <c r="Z26" s="66"/>
      <c r="AA26" s="66"/>
      <c r="AB26" s="66"/>
    </row>
    <row r="27" hidden="1" outlineLevel="1">
      <c r="A27" s="71">
        <v>46044.0</v>
      </c>
      <c r="B27" s="74">
        <v>0.1</v>
      </c>
      <c r="C27" s="75"/>
      <c r="D27" s="76"/>
      <c r="E27" s="77">
        <v>2.0</v>
      </c>
      <c r="F27" s="78">
        <f t="shared" si="1"/>
        <v>0</v>
      </c>
      <c r="G27" s="79">
        <f t="shared" si="2"/>
        <v>0</v>
      </c>
      <c r="H27" s="80">
        <f t="shared" si="3"/>
        <v>0</v>
      </c>
      <c r="I27" s="81">
        <f t="shared" si="4"/>
        <v>0</v>
      </c>
      <c r="J27" s="82"/>
      <c r="K27" s="83"/>
      <c r="L27" s="84">
        <f t="shared" si="5"/>
        <v>50</v>
      </c>
      <c r="M27" s="70"/>
      <c r="N27" s="65"/>
      <c r="O27" s="65"/>
      <c r="P27" s="65"/>
      <c r="Q27" s="65"/>
      <c r="R27" s="65"/>
      <c r="S27" s="65"/>
      <c r="T27" s="65"/>
      <c r="U27" s="65"/>
      <c r="V27" s="65"/>
      <c r="W27" s="65"/>
      <c r="X27" s="65"/>
      <c r="Y27" s="65"/>
      <c r="Z27" s="66"/>
      <c r="AA27" s="66"/>
      <c r="AB27" s="66"/>
    </row>
    <row r="28" hidden="1" outlineLevel="1">
      <c r="A28" s="71">
        <v>46045.0</v>
      </c>
      <c r="B28" s="74">
        <v>0.1</v>
      </c>
      <c r="C28" s="75"/>
      <c r="D28" s="76"/>
      <c r="E28" s="77">
        <v>2.0</v>
      </c>
      <c r="F28" s="78">
        <f t="shared" si="1"/>
        <v>0</v>
      </c>
      <c r="G28" s="79">
        <f t="shared" si="2"/>
        <v>0</v>
      </c>
      <c r="H28" s="80">
        <f t="shared" si="3"/>
        <v>0</v>
      </c>
      <c r="I28" s="81">
        <f t="shared" si="4"/>
        <v>0</v>
      </c>
      <c r="J28" s="82"/>
      <c r="K28" s="83"/>
      <c r="L28" s="84">
        <f t="shared" si="5"/>
        <v>50</v>
      </c>
      <c r="M28" s="70"/>
      <c r="N28" s="65"/>
      <c r="O28" s="65"/>
      <c r="P28" s="65"/>
      <c r="Q28" s="65"/>
      <c r="R28" s="65"/>
      <c r="S28" s="65"/>
      <c r="T28" s="65"/>
      <c r="U28" s="65"/>
      <c r="V28" s="65"/>
      <c r="W28" s="65"/>
      <c r="X28" s="65"/>
      <c r="Y28" s="65"/>
      <c r="Z28" s="66"/>
      <c r="AA28" s="66"/>
      <c r="AB28" s="66"/>
    </row>
    <row r="29" hidden="1" outlineLevel="1">
      <c r="A29" s="71">
        <v>46046.0</v>
      </c>
      <c r="B29" s="74">
        <v>0.1</v>
      </c>
      <c r="C29" s="75"/>
      <c r="D29" s="76"/>
      <c r="E29" s="77">
        <v>2.0</v>
      </c>
      <c r="F29" s="78">
        <f t="shared" si="1"/>
        <v>0</v>
      </c>
      <c r="G29" s="79">
        <f t="shared" si="2"/>
        <v>0</v>
      </c>
      <c r="H29" s="80">
        <f t="shared" si="3"/>
        <v>0</v>
      </c>
      <c r="I29" s="81">
        <f t="shared" si="4"/>
        <v>0</v>
      </c>
      <c r="J29" s="82"/>
      <c r="K29" s="83"/>
      <c r="L29" s="84">
        <f t="shared" si="5"/>
        <v>50</v>
      </c>
      <c r="M29" s="70"/>
      <c r="N29" s="65"/>
      <c r="O29" s="65"/>
      <c r="P29" s="65"/>
      <c r="Q29" s="65"/>
      <c r="R29" s="65"/>
      <c r="S29" s="65"/>
      <c r="T29" s="65"/>
      <c r="U29" s="65"/>
      <c r="V29" s="65"/>
      <c r="W29" s="65"/>
      <c r="X29" s="65"/>
      <c r="Y29" s="65"/>
      <c r="Z29" s="66"/>
      <c r="AA29" s="66"/>
      <c r="AB29" s="66"/>
    </row>
    <row r="30" hidden="1" outlineLevel="1">
      <c r="A30" s="71">
        <v>46047.0</v>
      </c>
      <c r="B30" s="74">
        <v>0.1</v>
      </c>
      <c r="C30" s="75"/>
      <c r="D30" s="76"/>
      <c r="E30" s="77">
        <v>2.0</v>
      </c>
      <c r="F30" s="78">
        <f t="shared" si="1"/>
        <v>0</v>
      </c>
      <c r="G30" s="79">
        <f t="shared" si="2"/>
        <v>0</v>
      </c>
      <c r="H30" s="80">
        <f t="shared" si="3"/>
        <v>0</v>
      </c>
      <c r="I30" s="81">
        <f t="shared" si="4"/>
        <v>0</v>
      </c>
      <c r="J30" s="82"/>
      <c r="K30" s="83"/>
      <c r="L30" s="84">
        <f t="shared" si="5"/>
        <v>50</v>
      </c>
      <c r="M30" s="70"/>
      <c r="N30" s="65"/>
      <c r="O30" s="65"/>
      <c r="P30" s="65"/>
      <c r="Q30" s="65"/>
      <c r="R30" s="65"/>
      <c r="S30" s="65"/>
      <c r="T30" s="65"/>
      <c r="U30" s="65"/>
      <c r="V30" s="65"/>
      <c r="W30" s="65"/>
      <c r="X30" s="65"/>
      <c r="Y30" s="65"/>
      <c r="Z30" s="66"/>
      <c r="AA30" s="66"/>
      <c r="AB30" s="66"/>
    </row>
    <row r="31" hidden="1" outlineLevel="1">
      <c r="A31" s="71">
        <v>46048.0</v>
      </c>
      <c r="B31" s="74">
        <v>0.1</v>
      </c>
      <c r="C31" s="75"/>
      <c r="D31" s="76"/>
      <c r="E31" s="77">
        <v>2.0</v>
      </c>
      <c r="F31" s="78">
        <f t="shared" si="1"/>
        <v>0</v>
      </c>
      <c r="G31" s="79">
        <f t="shared" si="2"/>
        <v>0</v>
      </c>
      <c r="H31" s="80">
        <f t="shared" si="3"/>
        <v>0</v>
      </c>
      <c r="I31" s="81">
        <f t="shared" si="4"/>
        <v>0</v>
      </c>
      <c r="J31" s="82"/>
      <c r="K31" s="83"/>
      <c r="L31" s="84">
        <f t="shared" si="5"/>
        <v>50</v>
      </c>
      <c r="M31" s="70"/>
      <c r="N31" s="65"/>
      <c r="O31" s="65"/>
      <c r="P31" s="65"/>
      <c r="Q31" s="65"/>
      <c r="R31" s="65"/>
      <c r="S31" s="65"/>
      <c r="T31" s="65"/>
      <c r="U31" s="65"/>
      <c r="V31" s="65"/>
      <c r="W31" s="65"/>
      <c r="X31" s="65"/>
      <c r="Y31" s="65"/>
      <c r="Z31" s="66"/>
      <c r="AA31" s="66"/>
      <c r="AB31" s="66"/>
    </row>
    <row r="32" hidden="1" outlineLevel="1">
      <c r="A32" s="71">
        <v>46049.0</v>
      </c>
      <c r="B32" s="74">
        <v>0.1</v>
      </c>
      <c r="C32" s="75"/>
      <c r="D32" s="76"/>
      <c r="E32" s="77">
        <v>2.0</v>
      </c>
      <c r="F32" s="78">
        <f t="shared" si="1"/>
        <v>0</v>
      </c>
      <c r="G32" s="79">
        <f t="shared" si="2"/>
        <v>0</v>
      </c>
      <c r="H32" s="80">
        <f t="shared" si="3"/>
        <v>0</v>
      </c>
      <c r="I32" s="81">
        <f t="shared" si="4"/>
        <v>0</v>
      </c>
      <c r="J32" s="82"/>
      <c r="K32" s="83"/>
      <c r="L32" s="84">
        <f t="shared" si="5"/>
        <v>50</v>
      </c>
      <c r="M32" s="70"/>
      <c r="N32" s="65"/>
      <c r="O32" s="65"/>
      <c r="P32" s="65"/>
      <c r="Q32" s="65"/>
      <c r="R32" s="65"/>
      <c r="S32" s="65"/>
      <c r="T32" s="65"/>
      <c r="U32" s="65"/>
      <c r="V32" s="65"/>
      <c r="W32" s="65"/>
      <c r="X32" s="65"/>
      <c r="Y32" s="65"/>
      <c r="Z32" s="66"/>
      <c r="AA32" s="66"/>
      <c r="AB32" s="66"/>
    </row>
    <row r="33" hidden="1" outlineLevel="1">
      <c r="A33" s="71">
        <v>46050.0</v>
      </c>
      <c r="B33" s="74">
        <v>0.1</v>
      </c>
      <c r="C33" s="75"/>
      <c r="D33" s="76"/>
      <c r="E33" s="77">
        <v>2.0</v>
      </c>
      <c r="F33" s="78">
        <f t="shared" si="1"/>
        <v>0</v>
      </c>
      <c r="G33" s="79">
        <f t="shared" si="2"/>
        <v>0</v>
      </c>
      <c r="H33" s="80">
        <f t="shared" si="3"/>
        <v>0</v>
      </c>
      <c r="I33" s="81">
        <f t="shared" si="4"/>
        <v>0</v>
      </c>
      <c r="J33" s="82"/>
      <c r="K33" s="83"/>
      <c r="L33" s="84">
        <f t="shared" si="5"/>
        <v>50</v>
      </c>
      <c r="M33" s="70"/>
      <c r="N33" s="65"/>
      <c r="O33" s="65"/>
      <c r="P33" s="65"/>
      <c r="Q33" s="65"/>
      <c r="R33" s="65"/>
      <c r="S33" s="65"/>
      <c r="T33" s="65"/>
      <c r="U33" s="65"/>
      <c r="V33" s="65"/>
      <c r="W33" s="65"/>
      <c r="X33" s="65"/>
      <c r="Y33" s="65"/>
      <c r="Z33" s="66"/>
      <c r="AA33" s="66"/>
      <c r="AB33" s="66"/>
    </row>
    <row r="34" hidden="1" outlineLevel="1">
      <c r="A34" s="71">
        <v>46051.0</v>
      </c>
      <c r="B34" s="74">
        <v>0.1</v>
      </c>
      <c r="C34" s="75"/>
      <c r="D34" s="76"/>
      <c r="E34" s="77">
        <v>2.0</v>
      </c>
      <c r="F34" s="78">
        <f t="shared" si="1"/>
        <v>0</v>
      </c>
      <c r="G34" s="79">
        <f t="shared" si="2"/>
        <v>0</v>
      </c>
      <c r="H34" s="80">
        <f t="shared" si="3"/>
        <v>0</v>
      </c>
      <c r="I34" s="81">
        <f t="shared" si="4"/>
        <v>0</v>
      </c>
      <c r="J34" s="82"/>
      <c r="K34" s="83"/>
      <c r="L34" s="84">
        <f t="shared" si="5"/>
        <v>50</v>
      </c>
      <c r="M34" s="70"/>
      <c r="N34" s="65"/>
      <c r="O34" s="65"/>
      <c r="P34" s="65"/>
      <c r="Q34" s="65"/>
      <c r="R34" s="65"/>
      <c r="S34" s="65"/>
      <c r="T34" s="65"/>
      <c r="U34" s="65"/>
      <c r="V34" s="65"/>
      <c r="W34" s="65"/>
      <c r="X34" s="65"/>
      <c r="Y34" s="65"/>
      <c r="Z34" s="66"/>
      <c r="AA34" s="66"/>
      <c r="AB34" s="66"/>
    </row>
    <row r="35" hidden="1" outlineLevel="1">
      <c r="A35" s="71">
        <v>46052.0</v>
      </c>
      <c r="B35" s="74">
        <v>0.1</v>
      </c>
      <c r="C35" s="75"/>
      <c r="D35" s="76"/>
      <c r="E35" s="77">
        <v>2.0</v>
      </c>
      <c r="F35" s="78">
        <f t="shared" si="1"/>
        <v>0</v>
      </c>
      <c r="G35" s="79">
        <f t="shared" si="2"/>
        <v>0</v>
      </c>
      <c r="H35" s="80">
        <f t="shared" si="3"/>
        <v>0</v>
      </c>
      <c r="I35" s="81">
        <f t="shared" si="4"/>
        <v>0</v>
      </c>
      <c r="J35" s="82"/>
      <c r="K35" s="83"/>
      <c r="L35" s="84">
        <f t="shared" si="5"/>
        <v>50</v>
      </c>
      <c r="M35" s="70"/>
      <c r="N35" s="65"/>
      <c r="O35" s="65"/>
      <c r="P35" s="65"/>
      <c r="Q35" s="65"/>
      <c r="R35" s="65"/>
      <c r="S35" s="65"/>
      <c r="T35" s="65"/>
      <c r="U35" s="65"/>
      <c r="V35" s="65"/>
      <c r="W35" s="65"/>
      <c r="X35" s="65"/>
      <c r="Y35" s="65"/>
      <c r="Z35" s="66"/>
      <c r="AA35" s="66"/>
      <c r="AB35" s="66"/>
    </row>
    <row r="36" hidden="1" outlineLevel="1">
      <c r="A36" s="71">
        <v>46053.0</v>
      </c>
      <c r="B36" s="74">
        <v>0.1</v>
      </c>
      <c r="C36" s="75"/>
      <c r="D36" s="76"/>
      <c r="E36" s="77">
        <v>2.0</v>
      </c>
      <c r="F36" s="78">
        <f t="shared" si="1"/>
        <v>0</v>
      </c>
      <c r="G36" s="79">
        <f t="shared" si="2"/>
        <v>0</v>
      </c>
      <c r="H36" s="80">
        <f t="shared" si="3"/>
        <v>0</v>
      </c>
      <c r="I36" s="81">
        <f t="shared" si="4"/>
        <v>0</v>
      </c>
      <c r="J36" s="82"/>
      <c r="K36" s="83"/>
      <c r="L36" s="84">
        <f t="shared" si="5"/>
        <v>50</v>
      </c>
      <c r="M36" s="70"/>
      <c r="N36" s="65"/>
      <c r="O36" s="65"/>
      <c r="P36" s="65"/>
      <c r="Q36" s="65"/>
      <c r="R36" s="65"/>
      <c r="S36" s="65"/>
      <c r="T36" s="65"/>
      <c r="U36" s="65"/>
      <c r="V36" s="65"/>
      <c r="W36" s="65"/>
      <c r="X36" s="65"/>
      <c r="Y36" s="65"/>
      <c r="Z36" s="66"/>
      <c r="AA36" s="66"/>
      <c r="AB36" s="66"/>
    </row>
    <row r="37" hidden="1" outlineLevel="1">
      <c r="A37" s="85" t="s">
        <v>41</v>
      </c>
      <c r="C37" s="86">
        <f>SUM(C6:C36)</f>
        <v>0.1</v>
      </c>
      <c r="D37" s="87"/>
      <c r="E37" s="87"/>
      <c r="F37" s="87"/>
      <c r="G37" s="87"/>
      <c r="H37" s="87"/>
      <c r="I37" s="88">
        <f t="shared" ref="I37:K37" si="6">SUM(I6:I36)</f>
        <v>0</v>
      </c>
      <c r="J37" s="89">
        <f t="shared" si="6"/>
        <v>0</v>
      </c>
      <c r="K37" s="87">
        <f t="shared" si="6"/>
        <v>0</v>
      </c>
      <c r="L37" s="89">
        <f>L36</f>
        <v>50</v>
      </c>
      <c r="M37" s="70"/>
      <c r="N37" s="65"/>
      <c r="O37" s="65"/>
      <c r="P37" s="65"/>
      <c r="Q37" s="65"/>
      <c r="R37" s="65"/>
      <c r="S37" s="65"/>
      <c r="T37" s="65"/>
      <c r="U37" s="65"/>
      <c r="V37" s="65"/>
      <c r="W37" s="65"/>
      <c r="X37" s="65"/>
      <c r="Y37" s="65"/>
      <c r="Z37" s="66"/>
      <c r="AA37" s="66"/>
      <c r="AB37" s="66"/>
    </row>
    <row r="38">
      <c r="A38" s="90"/>
      <c r="B38" s="91"/>
      <c r="C38" s="92"/>
      <c r="D38" s="92"/>
      <c r="E38" s="92"/>
      <c r="F38" s="92"/>
      <c r="G38" s="92"/>
      <c r="H38" s="92"/>
      <c r="I38" s="92"/>
      <c r="J38" s="93" t="s">
        <v>42</v>
      </c>
      <c r="K38" s="94">
        <f>SUM(K6:K36)</f>
        <v>0</v>
      </c>
      <c r="L38" s="92"/>
      <c r="M38" s="70"/>
      <c r="N38" s="65"/>
      <c r="O38" s="65"/>
      <c r="P38" s="65"/>
      <c r="Q38" s="65"/>
      <c r="R38" s="65"/>
      <c r="S38" s="65"/>
      <c r="T38" s="65"/>
      <c r="U38" s="65"/>
      <c r="V38" s="65"/>
      <c r="W38" s="65"/>
      <c r="X38" s="65"/>
      <c r="Y38" s="65"/>
      <c r="Z38" s="66"/>
      <c r="AA38" s="66"/>
      <c r="AB38" s="66"/>
    </row>
    <row r="39" collapsed="1">
      <c r="A39" s="57" t="s">
        <v>43</v>
      </c>
      <c r="M39" s="65"/>
      <c r="N39" s="65"/>
      <c r="O39" s="65"/>
      <c r="P39" s="65"/>
      <c r="Q39" s="65"/>
      <c r="R39" s="65"/>
      <c r="S39" s="65"/>
      <c r="T39" s="65"/>
      <c r="U39" s="65"/>
      <c r="V39" s="65"/>
      <c r="W39" s="65"/>
      <c r="X39" s="65"/>
      <c r="Y39" s="65"/>
      <c r="Z39" s="66"/>
      <c r="AA39" s="66"/>
      <c r="AB39" s="66"/>
    </row>
    <row r="40" hidden="1" outlineLevel="1">
      <c r="A40" s="71" t="s">
        <v>29</v>
      </c>
      <c r="B40" s="57" t="s">
        <v>30</v>
      </c>
      <c r="C40" s="57" t="s">
        <v>31</v>
      </c>
      <c r="D40" s="72" t="s">
        <v>32</v>
      </c>
      <c r="E40" s="72" t="s">
        <v>33</v>
      </c>
      <c r="F40" s="72" t="s">
        <v>34</v>
      </c>
      <c r="G40" s="73" t="s">
        <v>35</v>
      </c>
      <c r="H40" s="72" t="s">
        <v>36</v>
      </c>
      <c r="I40" s="57" t="s">
        <v>37</v>
      </c>
      <c r="J40" s="74" t="s">
        <v>38</v>
      </c>
      <c r="K40" s="57" t="s">
        <v>39</v>
      </c>
      <c r="L40" s="57" t="s">
        <v>40</v>
      </c>
      <c r="M40" s="65"/>
      <c r="N40" s="65"/>
      <c r="O40" s="65"/>
      <c r="P40" s="65"/>
      <c r="Q40" s="65"/>
      <c r="R40" s="65"/>
      <c r="S40" s="65"/>
      <c r="T40" s="65"/>
      <c r="U40" s="65"/>
      <c r="V40" s="65"/>
      <c r="W40" s="65"/>
      <c r="X40" s="65"/>
      <c r="Y40" s="65"/>
      <c r="Z40" s="66"/>
      <c r="AA40" s="66"/>
      <c r="AB40" s="66"/>
    </row>
    <row r="41" hidden="1" outlineLevel="1">
      <c r="A41" s="71"/>
      <c r="B41" s="74"/>
      <c r="C41" s="75"/>
      <c r="D41" s="76"/>
      <c r="E41" s="77"/>
      <c r="F41" s="78"/>
      <c r="G41" s="79"/>
      <c r="H41" s="80"/>
      <c r="I41" s="81"/>
      <c r="J41" s="82"/>
      <c r="K41" s="83"/>
      <c r="L41" s="84">
        <f>(L37+J41)-K41</f>
        <v>50</v>
      </c>
      <c r="M41" s="65"/>
      <c r="N41" s="65"/>
      <c r="O41" s="65"/>
      <c r="P41" s="65"/>
      <c r="Q41" s="65"/>
      <c r="R41" s="65"/>
      <c r="S41" s="65"/>
      <c r="T41" s="65"/>
      <c r="U41" s="65"/>
      <c r="V41" s="65"/>
      <c r="W41" s="65"/>
      <c r="X41" s="65"/>
      <c r="Y41" s="65"/>
      <c r="Z41" s="66"/>
      <c r="AA41" s="66"/>
      <c r="AB41" s="66"/>
    </row>
    <row r="42" hidden="1" outlineLevel="1">
      <c r="A42" s="71">
        <v>46055.0</v>
      </c>
      <c r="B42" s="74">
        <v>0.1</v>
      </c>
      <c r="C42" s="75">
        <v>0.1</v>
      </c>
      <c r="D42" s="76">
        <v>0.05</v>
      </c>
      <c r="E42" s="77">
        <v>3.0</v>
      </c>
      <c r="F42" s="78">
        <v>1000.0</v>
      </c>
      <c r="G42" s="79">
        <f t="shared" ref="G42:G46" si="7">L41*C42</f>
        <v>5</v>
      </c>
      <c r="H42" s="80">
        <f t="shared" ref="H42:H46" si="8">L41*D42</f>
        <v>2.5</v>
      </c>
      <c r="I42" s="81">
        <f t="shared" ref="I42:I46" si="9">(J42/L41)*100</f>
        <v>0</v>
      </c>
      <c r="J42" s="82"/>
      <c r="K42" s="83"/>
      <c r="L42" s="84">
        <f t="shared" ref="L42:L68" si="10">(L41+J42)-K42</f>
        <v>50</v>
      </c>
      <c r="M42" s="65"/>
      <c r="N42" s="65"/>
      <c r="O42" s="65"/>
      <c r="P42" s="65"/>
      <c r="Q42" s="65"/>
      <c r="R42" s="65"/>
      <c r="S42" s="65"/>
      <c r="T42" s="65"/>
      <c r="U42" s="65"/>
      <c r="V42" s="65"/>
      <c r="W42" s="65"/>
      <c r="X42" s="65"/>
      <c r="Y42" s="65"/>
      <c r="Z42" s="66"/>
      <c r="AA42" s="66"/>
      <c r="AB42" s="66"/>
    </row>
    <row r="43" hidden="1" outlineLevel="1">
      <c r="A43" s="71">
        <v>46056.0</v>
      </c>
      <c r="B43" s="74">
        <v>0.1</v>
      </c>
      <c r="C43" s="75">
        <v>0.1</v>
      </c>
      <c r="D43" s="76">
        <v>0.05</v>
      </c>
      <c r="E43" s="77">
        <v>3.0</v>
      </c>
      <c r="F43" s="78">
        <v>1000.0</v>
      </c>
      <c r="G43" s="79">
        <f t="shared" si="7"/>
        <v>5</v>
      </c>
      <c r="H43" s="80">
        <f t="shared" si="8"/>
        <v>2.5</v>
      </c>
      <c r="I43" s="81">
        <f t="shared" si="9"/>
        <v>0</v>
      </c>
      <c r="J43" s="82"/>
      <c r="K43" s="83"/>
      <c r="L43" s="84">
        <f t="shared" si="10"/>
        <v>50</v>
      </c>
      <c r="M43" s="65"/>
      <c r="N43" s="65"/>
      <c r="O43" s="65"/>
      <c r="P43" s="65"/>
      <c r="Q43" s="65"/>
      <c r="R43" s="65"/>
      <c r="S43" s="65"/>
      <c r="T43" s="65"/>
      <c r="U43" s="65"/>
      <c r="V43" s="65"/>
      <c r="W43" s="65"/>
      <c r="X43" s="65"/>
      <c r="Y43" s="65"/>
      <c r="Z43" s="66"/>
      <c r="AA43" s="66"/>
      <c r="AB43" s="66"/>
    </row>
    <row r="44" hidden="1" outlineLevel="1">
      <c r="A44" s="71">
        <v>46057.0</v>
      </c>
      <c r="B44" s="74">
        <v>0.1</v>
      </c>
      <c r="C44" s="75">
        <v>0.1</v>
      </c>
      <c r="D44" s="76">
        <v>0.05</v>
      </c>
      <c r="E44" s="77">
        <v>3.0</v>
      </c>
      <c r="F44" s="78">
        <v>1000.0</v>
      </c>
      <c r="G44" s="79">
        <f t="shared" si="7"/>
        <v>5</v>
      </c>
      <c r="H44" s="80">
        <f t="shared" si="8"/>
        <v>2.5</v>
      </c>
      <c r="I44" s="81">
        <f t="shared" si="9"/>
        <v>0</v>
      </c>
      <c r="J44" s="82"/>
      <c r="K44" s="83"/>
      <c r="L44" s="84">
        <f t="shared" si="10"/>
        <v>50</v>
      </c>
      <c r="M44" s="65"/>
      <c r="N44" s="65"/>
      <c r="O44" s="65"/>
      <c r="P44" s="65"/>
      <c r="Q44" s="65"/>
      <c r="R44" s="65"/>
      <c r="S44" s="65"/>
      <c r="T44" s="65"/>
      <c r="U44" s="65"/>
      <c r="V44" s="65"/>
      <c r="W44" s="65"/>
      <c r="X44" s="65"/>
      <c r="Y44" s="65"/>
      <c r="Z44" s="66"/>
      <c r="AA44" s="66"/>
      <c r="AB44" s="66"/>
    </row>
    <row r="45" hidden="1" outlineLevel="1">
      <c r="A45" s="71">
        <v>46058.0</v>
      </c>
      <c r="B45" s="74">
        <v>0.1</v>
      </c>
      <c r="C45" s="75">
        <v>0.1</v>
      </c>
      <c r="D45" s="76">
        <v>0.05</v>
      </c>
      <c r="E45" s="77">
        <v>3.0</v>
      </c>
      <c r="F45" s="78">
        <v>1000.0</v>
      </c>
      <c r="G45" s="79">
        <f t="shared" si="7"/>
        <v>5</v>
      </c>
      <c r="H45" s="80">
        <f t="shared" si="8"/>
        <v>2.5</v>
      </c>
      <c r="I45" s="81">
        <f t="shared" si="9"/>
        <v>0</v>
      </c>
      <c r="J45" s="82"/>
      <c r="K45" s="83"/>
      <c r="L45" s="84">
        <f t="shared" si="10"/>
        <v>50</v>
      </c>
      <c r="M45" s="65"/>
      <c r="N45" s="65"/>
      <c r="O45" s="65"/>
      <c r="P45" s="65"/>
      <c r="Q45" s="65"/>
      <c r="R45" s="65"/>
      <c r="S45" s="65"/>
      <c r="T45" s="65"/>
      <c r="U45" s="65"/>
      <c r="V45" s="65"/>
      <c r="W45" s="65"/>
      <c r="X45" s="65"/>
      <c r="Y45" s="65"/>
      <c r="Z45" s="66"/>
      <c r="AA45" s="66"/>
      <c r="AB45" s="66"/>
    </row>
    <row r="46" hidden="1" outlineLevel="1">
      <c r="A46" s="71">
        <v>46059.0</v>
      </c>
      <c r="B46" s="74">
        <v>0.1</v>
      </c>
      <c r="C46" s="75">
        <v>0.1</v>
      </c>
      <c r="D46" s="76">
        <v>0.05</v>
      </c>
      <c r="E46" s="77">
        <v>3.0</v>
      </c>
      <c r="F46" s="78">
        <v>1000.0</v>
      </c>
      <c r="G46" s="79">
        <f t="shared" si="7"/>
        <v>5</v>
      </c>
      <c r="H46" s="80">
        <f t="shared" si="8"/>
        <v>2.5</v>
      </c>
      <c r="I46" s="81">
        <f t="shared" si="9"/>
        <v>0</v>
      </c>
      <c r="J46" s="82"/>
      <c r="K46" s="83"/>
      <c r="L46" s="84">
        <f t="shared" si="10"/>
        <v>50</v>
      </c>
      <c r="M46" s="65"/>
      <c r="N46" s="65"/>
      <c r="O46" s="65"/>
      <c r="P46" s="65"/>
      <c r="Q46" s="65"/>
      <c r="R46" s="65"/>
      <c r="S46" s="65"/>
      <c r="T46" s="65"/>
      <c r="U46" s="65"/>
      <c r="V46" s="65"/>
      <c r="W46" s="65"/>
      <c r="X46" s="65"/>
      <c r="Y46" s="65"/>
      <c r="Z46" s="66"/>
      <c r="AA46" s="66"/>
      <c r="AB46" s="66"/>
    </row>
    <row r="47" hidden="1" outlineLevel="1">
      <c r="A47" s="71"/>
      <c r="B47" s="74"/>
      <c r="C47" s="75"/>
      <c r="D47" s="76"/>
      <c r="E47" s="77"/>
      <c r="F47" s="78"/>
      <c r="G47" s="79"/>
      <c r="H47" s="80"/>
      <c r="I47" s="81"/>
      <c r="J47" s="82"/>
      <c r="K47" s="83"/>
      <c r="L47" s="84">
        <f t="shared" si="10"/>
        <v>50</v>
      </c>
      <c r="M47" s="65"/>
      <c r="N47" s="65"/>
      <c r="O47" s="65"/>
      <c r="P47" s="65"/>
      <c r="Q47" s="65"/>
      <c r="R47" s="65"/>
      <c r="S47" s="65"/>
      <c r="T47" s="65"/>
      <c r="U47" s="65"/>
      <c r="V47" s="65"/>
      <c r="W47" s="65"/>
      <c r="X47" s="65"/>
      <c r="Y47" s="65"/>
      <c r="Z47" s="66"/>
      <c r="AA47" s="66"/>
      <c r="AB47" s="66"/>
    </row>
    <row r="48" hidden="1" outlineLevel="1">
      <c r="A48" s="71"/>
      <c r="B48" s="74"/>
      <c r="C48" s="75"/>
      <c r="D48" s="76"/>
      <c r="E48" s="77"/>
      <c r="F48" s="78"/>
      <c r="G48" s="79"/>
      <c r="H48" s="80"/>
      <c r="I48" s="81"/>
      <c r="J48" s="82"/>
      <c r="K48" s="83"/>
      <c r="L48" s="84">
        <f t="shared" si="10"/>
        <v>50</v>
      </c>
      <c r="M48" s="65"/>
      <c r="N48" s="65"/>
      <c r="O48" s="65"/>
      <c r="P48" s="65"/>
      <c r="Q48" s="65"/>
      <c r="R48" s="65"/>
      <c r="S48" s="65"/>
      <c r="T48" s="65"/>
      <c r="U48" s="65"/>
      <c r="V48" s="65"/>
      <c r="W48" s="65"/>
      <c r="X48" s="65"/>
      <c r="Y48" s="65"/>
      <c r="Z48" s="66"/>
      <c r="AA48" s="66"/>
      <c r="AB48" s="66"/>
    </row>
    <row r="49" hidden="1" outlineLevel="1">
      <c r="A49" s="71">
        <v>46062.0</v>
      </c>
      <c r="B49" s="74">
        <v>0.1</v>
      </c>
      <c r="C49" s="75">
        <v>0.1</v>
      </c>
      <c r="D49" s="76">
        <v>0.05</v>
      </c>
      <c r="E49" s="77">
        <v>3.0</v>
      </c>
      <c r="F49" s="78">
        <v>1000.0</v>
      </c>
      <c r="G49" s="79">
        <f t="shared" ref="G49:G53" si="11">L48*C49</f>
        <v>5</v>
      </c>
      <c r="H49" s="80">
        <f t="shared" ref="H49:H53" si="12">L48*D49</f>
        <v>2.5</v>
      </c>
      <c r="I49" s="81">
        <f t="shared" ref="I49:I53" si="13">(J49/L48)*100</f>
        <v>0.34</v>
      </c>
      <c r="J49" s="82">
        <v>0.17</v>
      </c>
      <c r="K49" s="83"/>
      <c r="L49" s="84">
        <f t="shared" si="10"/>
        <v>50.17</v>
      </c>
      <c r="M49" s="65"/>
      <c r="N49" s="65"/>
      <c r="O49" s="65"/>
      <c r="P49" s="65"/>
      <c r="Q49" s="65"/>
      <c r="R49" s="65"/>
      <c r="S49" s="65"/>
      <c r="T49" s="65"/>
      <c r="U49" s="65"/>
      <c r="V49" s="65"/>
      <c r="W49" s="65"/>
      <c r="X49" s="65"/>
      <c r="Y49" s="65"/>
      <c r="Z49" s="66"/>
      <c r="AA49" s="66"/>
      <c r="AB49" s="66"/>
    </row>
    <row r="50" hidden="1" outlineLevel="1">
      <c r="A50" s="71">
        <v>46063.0</v>
      </c>
      <c r="B50" s="74">
        <v>0.1</v>
      </c>
      <c r="C50" s="75">
        <v>0.1</v>
      </c>
      <c r="D50" s="76">
        <v>0.05</v>
      </c>
      <c r="E50" s="77">
        <v>3.0</v>
      </c>
      <c r="F50" s="78">
        <v>1000.0</v>
      </c>
      <c r="G50" s="79">
        <f t="shared" si="11"/>
        <v>5.017</v>
      </c>
      <c r="H50" s="80">
        <f t="shared" si="12"/>
        <v>2.5085</v>
      </c>
      <c r="I50" s="81">
        <f t="shared" si="13"/>
        <v>2.112816424</v>
      </c>
      <c r="J50" s="82">
        <v>1.06</v>
      </c>
      <c r="K50" s="83"/>
      <c r="L50" s="84">
        <f t="shared" si="10"/>
        <v>51.23</v>
      </c>
      <c r="M50" s="65"/>
      <c r="N50" s="65"/>
      <c r="O50" s="65"/>
      <c r="P50" s="65"/>
      <c r="Q50" s="65"/>
      <c r="R50" s="65"/>
      <c r="S50" s="65"/>
      <c r="T50" s="65"/>
      <c r="U50" s="65"/>
      <c r="V50" s="65"/>
      <c r="W50" s="65"/>
      <c r="X50" s="65"/>
      <c r="Y50" s="65"/>
      <c r="Z50" s="66"/>
      <c r="AA50" s="66"/>
      <c r="AB50" s="66"/>
    </row>
    <row r="51" hidden="1" outlineLevel="1">
      <c r="A51" s="71">
        <v>46064.0</v>
      </c>
      <c r="B51" s="74">
        <v>0.1</v>
      </c>
      <c r="C51" s="75">
        <v>0.1</v>
      </c>
      <c r="D51" s="76">
        <v>0.05</v>
      </c>
      <c r="E51" s="77">
        <v>3.0</v>
      </c>
      <c r="F51" s="78">
        <v>1000.0</v>
      </c>
      <c r="G51" s="79">
        <f t="shared" si="11"/>
        <v>5.123</v>
      </c>
      <c r="H51" s="80">
        <f t="shared" si="12"/>
        <v>2.5615</v>
      </c>
      <c r="I51" s="81">
        <f t="shared" si="13"/>
        <v>2.576615264</v>
      </c>
      <c r="J51" s="82">
        <v>1.32</v>
      </c>
      <c r="K51" s="83"/>
      <c r="L51" s="84">
        <f t="shared" si="10"/>
        <v>52.55</v>
      </c>
      <c r="M51" s="65"/>
      <c r="N51" s="65"/>
      <c r="O51" s="65"/>
      <c r="P51" s="65"/>
      <c r="Q51" s="65"/>
      <c r="R51" s="65"/>
      <c r="S51" s="65"/>
      <c r="T51" s="65"/>
      <c r="U51" s="65"/>
      <c r="V51" s="65"/>
      <c r="W51" s="65"/>
      <c r="X51" s="65"/>
      <c r="Y51" s="65"/>
      <c r="Z51" s="66"/>
      <c r="AA51" s="66"/>
      <c r="AB51" s="66"/>
    </row>
    <row r="52" hidden="1" outlineLevel="1">
      <c r="A52" s="71">
        <v>46065.0</v>
      </c>
      <c r="B52" s="74">
        <v>0.1</v>
      </c>
      <c r="C52" s="75">
        <v>0.1</v>
      </c>
      <c r="D52" s="76">
        <v>0.05</v>
      </c>
      <c r="E52" s="77">
        <v>3.0</v>
      </c>
      <c r="F52" s="78">
        <v>1000.0</v>
      </c>
      <c r="G52" s="79">
        <f t="shared" si="11"/>
        <v>5.255</v>
      </c>
      <c r="H52" s="80">
        <f t="shared" si="12"/>
        <v>2.6275</v>
      </c>
      <c r="I52" s="81">
        <f t="shared" si="13"/>
        <v>6.393910561</v>
      </c>
      <c r="J52" s="82">
        <v>3.36</v>
      </c>
      <c r="K52" s="83"/>
      <c r="L52" s="84">
        <f t="shared" si="10"/>
        <v>55.91</v>
      </c>
      <c r="M52" s="65"/>
      <c r="N52" s="65"/>
      <c r="O52" s="65"/>
      <c r="P52" s="65"/>
      <c r="Q52" s="65"/>
      <c r="R52" s="65"/>
      <c r="S52" s="65"/>
      <c r="T52" s="65"/>
      <c r="U52" s="65"/>
      <c r="V52" s="65"/>
      <c r="W52" s="65"/>
      <c r="X52" s="65"/>
      <c r="Y52" s="65"/>
      <c r="Z52" s="66"/>
      <c r="AA52" s="66"/>
      <c r="AB52" s="66"/>
    </row>
    <row r="53" hidden="1" outlineLevel="1">
      <c r="A53" s="71">
        <v>46066.0</v>
      </c>
      <c r="B53" s="74">
        <v>0.1</v>
      </c>
      <c r="C53" s="75">
        <v>0.1</v>
      </c>
      <c r="D53" s="76">
        <v>0.05</v>
      </c>
      <c r="E53" s="77">
        <v>3.0</v>
      </c>
      <c r="F53" s="78">
        <v>1000.0</v>
      </c>
      <c r="G53" s="79">
        <f t="shared" si="11"/>
        <v>5.591</v>
      </c>
      <c r="H53" s="80">
        <f t="shared" si="12"/>
        <v>2.7955</v>
      </c>
      <c r="I53" s="81">
        <f t="shared" si="13"/>
        <v>2.164192452</v>
      </c>
      <c r="J53" s="82">
        <v>1.21</v>
      </c>
      <c r="K53" s="83"/>
      <c r="L53" s="84">
        <f t="shared" si="10"/>
        <v>57.12</v>
      </c>
      <c r="M53" s="65"/>
      <c r="N53" s="65"/>
      <c r="O53" s="65"/>
      <c r="P53" s="65"/>
      <c r="Q53" s="65"/>
      <c r="R53" s="65"/>
      <c r="S53" s="65"/>
      <c r="T53" s="65"/>
      <c r="U53" s="65"/>
      <c r="V53" s="65"/>
      <c r="W53" s="65"/>
      <c r="X53" s="65"/>
      <c r="Y53" s="65"/>
      <c r="Z53" s="66"/>
      <c r="AA53" s="66"/>
      <c r="AB53" s="66"/>
    </row>
    <row r="54" hidden="1" outlineLevel="1">
      <c r="A54" s="71"/>
      <c r="B54" s="74"/>
      <c r="C54" s="75"/>
      <c r="D54" s="76"/>
      <c r="E54" s="77"/>
      <c r="F54" s="78"/>
      <c r="G54" s="79"/>
      <c r="H54" s="80"/>
      <c r="I54" s="81"/>
      <c r="J54" s="82"/>
      <c r="K54" s="83"/>
      <c r="L54" s="84">
        <f t="shared" si="10"/>
        <v>57.12</v>
      </c>
      <c r="M54" s="65"/>
      <c r="N54" s="65"/>
      <c r="O54" s="65"/>
      <c r="P54" s="65"/>
      <c r="Q54" s="65"/>
      <c r="R54" s="65"/>
      <c r="S54" s="65"/>
      <c r="T54" s="65"/>
      <c r="U54" s="65"/>
      <c r="V54" s="65"/>
      <c r="W54" s="65"/>
      <c r="X54" s="65"/>
      <c r="Y54" s="65"/>
      <c r="Z54" s="66"/>
      <c r="AA54" s="66"/>
      <c r="AB54" s="66"/>
    </row>
    <row r="55" hidden="1" outlineLevel="1">
      <c r="A55" s="71"/>
      <c r="B55" s="74"/>
      <c r="C55" s="75"/>
      <c r="D55" s="76"/>
      <c r="E55" s="77"/>
      <c r="F55" s="78"/>
      <c r="G55" s="79"/>
      <c r="H55" s="80"/>
      <c r="I55" s="81"/>
      <c r="J55" s="82"/>
      <c r="K55" s="83"/>
      <c r="L55" s="84">
        <f t="shared" si="10"/>
        <v>57.12</v>
      </c>
      <c r="M55" s="65"/>
      <c r="N55" s="65"/>
      <c r="O55" s="65"/>
      <c r="P55" s="65"/>
      <c r="Q55" s="65"/>
      <c r="R55" s="65"/>
      <c r="S55" s="65"/>
      <c r="T55" s="65"/>
      <c r="U55" s="65"/>
      <c r="V55" s="65"/>
      <c r="W55" s="65"/>
      <c r="X55" s="65"/>
      <c r="Y55" s="65"/>
      <c r="Z55" s="66"/>
      <c r="AA55" s="66"/>
      <c r="AB55" s="66"/>
    </row>
    <row r="56" hidden="1" outlineLevel="1">
      <c r="A56" s="71">
        <v>46069.0</v>
      </c>
      <c r="B56" s="74">
        <v>0.1</v>
      </c>
      <c r="C56" s="75">
        <v>0.1</v>
      </c>
      <c r="D56" s="76">
        <v>0.05</v>
      </c>
      <c r="E56" s="77">
        <v>3.0</v>
      </c>
      <c r="F56" s="78">
        <v>1000.0</v>
      </c>
      <c r="G56" s="79">
        <f t="shared" ref="G56:G60" si="14">L55*C56</f>
        <v>5.712</v>
      </c>
      <c r="H56" s="80">
        <f t="shared" ref="H56:H60" si="15">L55*D56</f>
        <v>2.856</v>
      </c>
      <c r="I56" s="81">
        <f t="shared" ref="I56:I60" si="16">(J56/L55)*100</f>
        <v>3.326330532</v>
      </c>
      <c r="J56" s="82">
        <v>1.9</v>
      </c>
      <c r="K56" s="83"/>
      <c r="L56" s="84">
        <f t="shared" si="10"/>
        <v>59.02</v>
      </c>
      <c r="M56" s="65"/>
      <c r="N56" s="65"/>
      <c r="O56" s="65"/>
      <c r="P56" s="65"/>
      <c r="Q56" s="65"/>
      <c r="R56" s="65"/>
      <c r="S56" s="65"/>
      <c r="T56" s="65"/>
      <c r="U56" s="65"/>
      <c r="V56" s="65"/>
      <c r="W56" s="65"/>
      <c r="X56" s="65"/>
      <c r="Y56" s="65"/>
      <c r="Z56" s="66"/>
      <c r="AA56" s="66"/>
      <c r="AB56" s="66"/>
    </row>
    <row r="57" hidden="1" outlineLevel="1">
      <c r="A57" s="71">
        <v>46070.0</v>
      </c>
      <c r="B57" s="74">
        <v>0.1</v>
      </c>
      <c r="C57" s="75">
        <v>0.1</v>
      </c>
      <c r="D57" s="76">
        <v>0.05</v>
      </c>
      <c r="E57" s="77">
        <v>3.0</v>
      </c>
      <c r="F57" s="78">
        <v>1000.0</v>
      </c>
      <c r="G57" s="79">
        <f t="shared" si="14"/>
        <v>5.902</v>
      </c>
      <c r="H57" s="80">
        <f t="shared" si="15"/>
        <v>2.951</v>
      </c>
      <c r="I57" s="81">
        <f t="shared" si="16"/>
        <v>-0.6269061335</v>
      </c>
      <c r="J57" s="82">
        <v>-0.37</v>
      </c>
      <c r="K57" s="83"/>
      <c r="L57" s="84">
        <f t="shared" si="10"/>
        <v>58.65</v>
      </c>
      <c r="M57" s="65"/>
      <c r="N57" s="65"/>
      <c r="O57" s="65"/>
      <c r="P57" s="65"/>
      <c r="Q57" s="65"/>
      <c r="R57" s="65"/>
      <c r="S57" s="65"/>
      <c r="T57" s="65"/>
      <c r="U57" s="65"/>
      <c r="V57" s="65"/>
      <c r="W57" s="65"/>
      <c r="X57" s="65"/>
      <c r="Y57" s="65"/>
      <c r="Z57" s="66"/>
      <c r="AA57" s="66"/>
      <c r="AB57" s="66"/>
    </row>
    <row r="58" hidden="1" outlineLevel="1">
      <c r="A58" s="71">
        <v>46071.0</v>
      </c>
      <c r="B58" s="74">
        <v>0.1</v>
      </c>
      <c r="C58" s="75">
        <v>0.1</v>
      </c>
      <c r="D58" s="76">
        <v>0.05</v>
      </c>
      <c r="E58" s="77">
        <v>3.0</v>
      </c>
      <c r="F58" s="78">
        <v>1000.0</v>
      </c>
      <c r="G58" s="79">
        <f t="shared" si="14"/>
        <v>5.865</v>
      </c>
      <c r="H58" s="80">
        <f t="shared" si="15"/>
        <v>2.9325</v>
      </c>
      <c r="I58" s="81">
        <f t="shared" si="16"/>
        <v>-2.796248934</v>
      </c>
      <c r="J58" s="82">
        <v>-1.64</v>
      </c>
      <c r="K58" s="83"/>
      <c r="L58" s="84">
        <f t="shared" si="10"/>
        <v>57.01</v>
      </c>
      <c r="M58" s="65"/>
      <c r="N58" s="65"/>
      <c r="O58" s="65"/>
      <c r="P58" s="65"/>
      <c r="Q58" s="65"/>
      <c r="R58" s="65"/>
      <c r="S58" s="65"/>
      <c r="T58" s="65"/>
      <c r="U58" s="65"/>
      <c r="V58" s="65"/>
      <c r="W58" s="65"/>
      <c r="X58" s="65"/>
      <c r="Y58" s="65"/>
      <c r="Z58" s="66"/>
      <c r="AA58" s="66"/>
      <c r="AB58" s="66"/>
    </row>
    <row r="59" hidden="1" outlineLevel="1">
      <c r="A59" s="71">
        <v>46072.0</v>
      </c>
      <c r="B59" s="74">
        <v>0.1</v>
      </c>
      <c r="C59" s="75">
        <v>0.1</v>
      </c>
      <c r="D59" s="76">
        <v>0.05</v>
      </c>
      <c r="E59" s="77">
        <v>3.0</v>
      </c>
      <c r="F59" s="78">
        <v>1000.0</v>
      </c>
      <c r="G59" s="79">
        <f t="shared" si="14"/>
        <v>5.701</v>
      </c>
      <c r="H59" s="80">
        <f t="shared" si="15"/>
        <v>2.8505</v>
      </c>
      <c r="I59" s="81">
        <f t="shared" si="16"/>
        <v>8.647605683</v>
      </c>
      <c r="J59" s="82">
        <v>4.93</v>
      </c>
      <c r="K59" s="83"/>
      <c r="L59" s="84">
        <f t="shared" si="10"/>
        <v>61.94</v>
      </c>
      <c r="M59" s="65"/>
      <c r="N59" s="65"/>
      <c r="O59" s="65"/>
      <c r="P59" s="65"/>
      <c r="Q59" s="65"/>
      <c r="R59" s="65"/>
      <c r="S59" s="65"/>
      <c r="T59" s="65"/>
      <c r="U59" s="65"/>
      <c r="V59" s="65"/>
      <c r="W59" s="65"/>
      <c r="X59" s="65"/>
      <c r="Y59" s="65"/>
      <c r="Z59" s="66"/>
      <c r="AA59" s="66"/>
      <c r="AB59" s="66"/>
    </row>
    <row r="60" hidden="1" outlineLevel="1">
      <c r="A60" s="71">
        <v>46073.0</v>
      </c>
      <c r="B60" s="74">
        <v>0.1</v>
      </c>
      <c r="C60" s="75">
        <v>0.1</v>
      </c>
      <c r="D60" s="76">
        <v>0.05</v>
      </c>
      <c r="E60" s="77">
        <v>3.0</v>
      </c>
      <c r="F60" s="78">
        <v>1000.0</v>
      </c>
      <c r="G60" s="79">
        <f t="shared" si="14"/>
        <v>6.194</v>
      </c>
      <c r="H60" s="80">
        <f t="shared" si="15"/>
        <v>3.097</v>
      </c>
      <c r="I60" s="81">
        <f t="shared" si="16"/>
        <v>6.651598321</v>
      </c>
      <c r="J60" s="82">
        <v>4.12</v>
      </c>
      <c r="K60" s="83"/>
      <c r="L60" s="84">
        <f t="shared" si="10"/>
        <v>66.06</v>
      </c>
      <c r="M60" s="65"/>
      <c r="N60" s="65"/>
      <c r="O60" s="65"/>
      <c r="P60" s="65"/>
      <c r="Q60" s="65"/>
      <c r="R60" s="65"/>
      <c r="S60" s="65"/>
      <c r="T60" s="65"/>
      <c r="U60" s="65"/>
      <c r="V60" s="65"/>
      <c r="W60" s="65"/>
      <c r="X60" s="65"/>
      <c r="Y60" s="65"/>
      <c r="Z60" s="66"/>
      <c r="AA60" s="66"/>
      <c r="AB60" s="66"/>
    </row>
    <row r="61" hidden="1" outlineLevel="1">
      <c r="A61" s="71"/>
      <c r="B61" s="74"/>
      <c r="C61" s="75"/>
      <c r="D61" s="76"/>
      <c r="E61" s="77"/>
      <c r="F61" s="78"/>
      <c r="G61" s="79"/>
      <c r="H61" s="80"/>
      <c r="I61" s="81"/>
      <c r="J61" s="82"/>
      <c r="K61" s="83"/>
      <c r="L61" s="84">
        <f t="shared" si="10"/>
        <v>66.06</v>
      </c>
      <c r="M61" s="65"/>
      <c r="N61" s="65"/>
      <c r="O61" s="65"/>
      <c r="P61" s="65"/>
      <c r="Q61" s="65"/>
      <c r="R61" s="65"/>
      <c r="S61" s="65"/>
      <c r="T61" s="65"/>
      <c r="U61" s="65"/>
      <c r="V61" s="65"/>
      <c r="W61" s="65"/>
      <c r="X61" s="65"/>
      <c r="Y61" s="65"/>
      <c r="Z61" s="66"/>
      <c r="AA61" s="66"/>
      <c r="AB61" s="66"/>
    </row>
    <row r="62" hidden="1" outlineLevel="1">
      <c r="A62" s="71"/>
      <c r="B62" s="74"/>
      <c r="C62" s="75"/>
      <c r="D62" s="76"/>
      <c r="E62" s="77"/>
      <c r="F62" s="78"/>
      <c r="G62" s="79"/>
      <c r="H62" s="80"/>
      <c r="I62" s="81"/>
      <c r="J62" s="82"/>
      <c r="K62" s="83"/>
      <c r="L62" s="84">
        <f t="shared" si="10"/>
        <v>66.06</v>
      </c>
      <c r="M62" s="65"/>
      <c r="N62" s="65"/>
      <c r="O62" s="65"/>
      <c r="P62" s="65"/>
      <c r="Q62" s="65"/>
      <c r="R62" s="65"/>
      <c r="S62" s="65"/>
      <c r="T62" s="65"/>
      <c r="U62" s="65"/>
      <c r="V62" s="65"/>
      <c r="W62" s="65"/>
      <c r="X62" s="65"/>
      <c r="Y62" s="65"/>
      <c r="Z62" s="66"/>
      <c r="AA62" s="66"/>
      <c r="AB62" s="66"/>
    </row>
    <row r="63" hidden="1" outlineLevel="1">
      <c r="A63" s="71">
        <v>46076.0</v>
      </c>
      <c r="B63" s="74">
        <v>0.1</v>
      </c>
      <c r="C63" s="75">
        <v>0.1</v>
      </c>
      <c r="D63" s="76">
        <v>0.05</v>
      </c>
      <c r="E63" s="77">
        <v>3.0</v>
      </c>
      <c r="F63" s="78">
        <v>1000.0</v>
      </c>
      <c r="G63" s="79">
        <f t="shared" ref="G63:G67" si="17">L62*C63</f>
        <v>6.606</v>
      </c>
      <c r="H63" s="80">
        <f t="shared" ref="H63:H67" si="18">L62*D63</f>
        <v>3.303</v>
      </c>
      <c r="I63" s="81">
        <f t="shared" ref="I63:I67" si="19">(J63/L62)*100</f>
        <v>4.117468968</v>
      </c>
      <c r="J63" s="82">
        <v>2.72</v>
      </c>
      <c r="K63" s="83"/>
      <c r="L63" s="84">
        <f t="shared" si="10"/>
        <v>68.78</v>
      </c>
      <c r="M63" s="65"/>
      <c r="N63" s="65"/>
      <c r="O63" s="65"/>
      <c r="P63" s="65"/>
      <c r="Q63" s="65"/>
      <c r="R63" s="65"/>
      <c r="S63" s="65"/>
      <c r="T63" s="65"/>
      <c r="U63" s="65"/>
      <c r="V63" s="65"/>
      <c r="W63" s="65"/>
      <c r="X63" s="65"/>
      <c r="Y63" s="65"/>
      <c r="Z63" s="66"/>
      <c r="AA63" s="66"/>
      <c r="AB63" s="66"/>
    </row>
    <row r="64" hidden="1" outlineLevel="1">
      <c r="A64" s="71">
        <v>46077.0</v>
      </c>
      <c r="B64" s="74">
        <v>0.1</v>
      </c>
      <c r="C64" s="75">
        <v>0.1</v>
      </c>
      <c r="D64" s="76">
        <v>0.05</v>
      </c>
      <c r="E64" s="77">
        <v>3.0</v>
      </c>
      <c r="F64" s="78">
        <v>1000.0</v>
      </c>
      <c r="G64" s="79">
        <f t="shared" si="17"/>
        <v>6.878</v>
      </c>
      <c r="H64" s="80">
        <f t="shared" si="18"/>
        <v>3.439</v>
      </c>
      <c r="I64" s="81">
        <f t="shared" si="19"/>
        <v>2.544344286</v>
      </c>
      <c r="J64" s="82">
        <v>1.75</v>
      </c>
      <c r="K64" s="83"/>
      <c r="L64" s="84">
        <f t="shared" si="10"/>
        <v>70.53</v>
      </c>
      <c r="M64" s="65"/>
      <c r="N64" s="65"/>
      <c r="O64" s="65"/>
      <c r="P64" s="65"/>
      <c r="Q64" s="65"/>
      <c r="R64" s="65"/>
      <c r="S64" s="65"/>
      <c r="T64" s="65"/>
      <c r="U64" s="65"/>
      <c r="V64" s="65"/>
      <c r="W64" s="65"/>
      <c r="X64" s="65"/>
      <c r="Y64" s="65"/>
      <c r="Z64" s="66"/>
      <c r="AA64" s="66"/>
      <c r="AB64" s="66"/>
    </row>
    <row r="65" hidden="1" outlineLevel="1">
      <c r="A65" s="71">
        <v>46078.0</v>
      </c>
      <c r="B65" s="74">
        <v>0.1</v>
      </c>
      <c r="C65" s="75">
        <v>0.1</v>
      </c>
      <c r="D65" s="76">
        <v>0.05</v>
      </c>
      <c r="E65" s="77">
        <v>3.0</v>
      </c>
      <c r="F65" s="78">
        <v>1000.0</v>
      </c>
      <c r="G65" s="79">
        <f t="shared" si="17"/>
        <v>7.053</v>
      </c>
      <c r="H65" s="80">
        <f t="shared" si="18"/>
        <v>3.5265</v>
      </c>
      <c r="I65" s="81">
        <f t="shared" si="19"/>
        <v>3.502055863</v>
      </c>
      <c r="J65" s="82">
        <v>2.47</v>
      </c>
      <c r="K65" s="83"/>
      <c r="L65" s="84">
        <f t="shared" si="10"/>
        <v>73</v>
      </c>
      <c r="M65" s="65"/>
      <c r="N65" s="65"/>
      <c r="O65" s="65"/>
      <c r="P65" s="65"/>
      <c r="Q65" s="65"/>
      <c r="R65" s="65"/>
      <c r="S65" s="65"/>
      <c r="T65" s="65"/>
      <c r="U65" s="65"/>
      <c r="V65" s="65"/>
      <c r="W65" s="65"/>
      <c r="X65" s="65"/>
      <c r="Y65" s="65"/>
      <c r="Z65" s="66"/>
      <c r="AA65" s="66"/>
      <c r="AB65" s="66"/>
    </row>
    <row r="66" hidden="1" outlineLevel="1">
      <c r="A66" s="71">
        <v>46079.0</v>
      </c>
      <c r="B66" s="74">
        <v>0.1</v>
      </c>
      <c r="C66" s="75">
        <v>0.1</v>
      </c>
      <c r="D66" s="76">
        <v>0.05</v>
      </c>
      <c r="E66" s="77">
        <v>3.0</v>
      </c>
      <c r="F66" s="78">
        <v>1000.0</v>
      </c>
      <c r="G66" s="79">
        <f t="shared" si="17"/>
        <v>7.3</v>
      </c>
      <c r="H66" s="80">
        <f t="shared" si="18"/>
        <v>3.65</v>
      </c>
      <c r="I66" s="81">
        <f t="shared" si="19"/>
        <v>2.97260274</v>
      </c>
      <c r="J66" s="82">
        <v>2.17</v>
      </c>
      <c r="K66" s="83"/>
      <c r="L66" s="84">
        <f t="shared" si="10"/>
        <v>75.17</v>
      </c>
      <c r="M66" s="65"/>
      <c r="N66" s="65"/>
      <c r="O66" s="65"/>
      <c r="P66" s="65"/>
      <c r="Q66" s="65"/>
      <c r="R66" s="65"/>
      <c r="S66" s="65"/>
      <c r="T66" s="65"/>
      <c r="U66" s="65"/>
      <c r="V66" s="65"/>
      <c r="W66" s="65"/>
      <c r="X66" s="65"/>
      <c r="Y66" s="65"/>
      <c r="Z66" s="66"/>
      <c r="AA66" s="66"/>
      <c r="AB66" s="66"/>
    </row>
    <row r="67" hidden="1" outlineLevel="1">
      <c r="A67" s="71">
        <v>46080.0</v>
      </c>
      <c r="B67" s="74">
        <v>0.1</v>
      </c>
      <c r="C67" s="75">
        <v>0.1</v>
      </c>
      <c r="D67" s="76">
        <v>0.05</v>
      </c>
      <c r="E67" s="77">
        <v>3.0</v>
      </c>
      <c r="F67" s="78">
        <v>1000.0</v>
      </c>
      <c r="G67" s="79">
        <f t="shared" si="17"/>
        <v>7.517</v>
      </c>
      <c r="H67" s="80">
        <f t="shared" si="18"/>
        <v>3.7585</v>
      </c>
      <c r="I67" s="81">
        <f t="shared" si="19"/>
        <v>-8.939736597</v>
      </c>
      <c r="J67" s="82">
        <v>-6.72</v>
      </c>
      <c r="K67" s="83"/>
      <c r="L67" s="84">
        <f t="shared" si="10"/>
        <v>68.45</v>
      </c>
      <c r="M67" s="65"/>
      <c r="N67" s="65"/>
      <c r="O67" s="65"/>
      <c r="P67" s="65"/>
      <c r="Q67" s="65"/>
      <c r="R67" s="65"/>
      <c r="S67" s="65"/>
      <c r="T67" s="65"/>
      <c r="U67" s="65"/>
      <c r="V67" s="65"/>
      <c r="W67" s="65"/>
      <c r="X67" s="65"/>
      <c r="Y67" s="65"/>
      <c r="Z67" s="66"/>
      <c r="AA67" s="66"/>
      <c r="AB67" s="66"/>
    </row>
    <row r="68" hidden="1" outlineLevel="1">
      <c r="A68" s="71"/>
      <c r="B68" s="74"/>
      <c r="C68" s="75"/>
      <c r="D68" s="76"/>
      <c r="E68" s="77"/>
      <c r="F68" s="78"/>
      <c r="G68" s="79"/>
      <c r="H68" s="80"/>
      <c r="I68" s="81"/>
      <c r="J68" s="82"/>
      <c r="K68" s="83"/>
      <c r="L68" s="84">
        <f t="shared" si="10"/>
        <v>68.45</v>
      </c>
      <c r="M68" s="65"/>
      <c r="N68" s="65"/>
      <c r="O68" s="65"/>
      <c r="P68" s="65"/>
      <c r="Q68" s="65"/>
      <c r="R68" s="65"/>
      <c r="S68" s="65"/>
      <c r="T68" s="65"/>
      <c r="U68" s="65"/>
      <c r="V68" s="65"/>
      <c r="W68" s="65"/>
      <c r="X68" s="65"/>
      <c r="Y68" s="65"/>
      <c r="Z68" s="66"/>
      <c r="AA68" s="66"/>
      <c r="AB68" s="66"/>
    </row>
    <row r="69" hidden="1" outlineLevel="1">
      <c r="A69" s="85" t="s">
        <v>41</v>
      </c>
      <c r="C69" s="86">
        <f>SUM(C41:C68)</f>
        <v>2</v>
      </c>
      <c r="D69" s="87"/>
      <c r="E69" s="87"/>
      <c r="F69" s="87"/>
      <c r="G69" s="87"/>
      <c r="H69" s="87"/>
      <c r="I69" s="88">
        <f t="shared" ref="I69:K69" si="20">SUM(I41:I68)</f>
        <v>32.98664943</v>
      </c>
      <c r="J69" s="89">
        <f t="shared" si="20"/>
        <v>18.45</v>
      </c>
      <c r="K69" s="87">
        <f t="shared" si="20"/>
        <v>0</v>
      </c>
      <c r="L69" s="89">
        <f>L68</f>
        <v>68.45</v>
      </c>
      <c r="M69" s="65"/>
      <c r="N69" s="65"/>
      <c r="O69" s="65"/>
      <c r="P69" s="65"/>
      <c r="Q69" s="65"/>
      <c r="R69" s="65"/>
      <c r="S69" s="65"/>
      <c r="T69" s="65"/>
      <c r="U69" s="65"/>
      <c r="V69" s="65"/>
      <c r="W69" s="65"/>
      <c r="X69" s="65"/>
      <c r="Y69" s="65"/>
      <c r="Z69" s="66"/>
      <c r="AA69" s="66"/>
      <c r="AB69" s="66"/>
    </row>
    <row r="70">
      <c r="A70" s="95"/>
      <c r="B70" s="92"/>
      <c r="C70" s="92"/>
      <c r="D70" s="92"/>
      <c r="E70" s="92"/>
      <c r="F70" s="92"/>
      <c r="G70" s="92"/>
      <c r="H70" s="92"/>
      <c r="I70" s="92"/>
      <c r="J70" s="92"/>
      <c r="K70" s="94">
        <f>SUM(K41:K68)</f>
        <v>0</v>
      </c>
      <c r="L70" s="92"/>
      <c r="M70" s="65"/>
      <c r="N70" s="65"/>
      <c r="O70" s="65"/>
      <c r="P70" s="65"/>
      <c r="Q70" s="65"/>
      <c r="R70" s="65"/>
      <c r="S70" s="65"/>
      <c r="T70" s="65"/>
      <c r="U70" s="65"/>
      <c r="V70" s="65"/>
      <c r="W70" s="65"/>
      <c r="X70" s="65"/>
      <c r="Y70" s="65"/>
      <c r="Z70" s="66"/>
      <c r="AA70" s="66"/>
      <c r="AB70" s="66"/>
    </row>
    <row r="71">
      <c r="A71" s="57" t="s">
        <v>44</v>
      </c>
      <c r="M71" s="65"/>
      <c r="N71" s="65"/>
      <c r="O71" s="65"/>
      <c r="P71" s="65"/>
      <c r="Q71" s="65"/>
      <c r="R71" s="65"/>
      <c r="S71" s="65"/>
      <c r="T71" s="65"/>
      <c r="U71" s="65"/>
      <c r="V71" s="65"/>
      <c r="W71" s="65"/>
      <c r="X71" s="65"/>
      <c r="Y71" s="65"/>
      <c r="Z71" s="66"/>
      <c r="AA71" s="66"/>
      <c r="AB71" s="66"/>
    </row>
    <row r="72" outlineLevel="1">
      <c r="A72" s="71" t="s">
        <v>29</v>
      </c>
      <c r="B72" s="57" t="s">
        <v>30</v>
      </c>
      <c r="C72" s="57" t="s">
        <v>31</v>
      </c>
      <c r="D72" s="72" t="s">
        <v>32</v>
      </c>
      <c r="E72" s="72" t="s">
        <v>33</v>
      </c>
      <c r="F72" s="72" t="s">
        <v>34</v>
      </c>
      <c r="G72" s="73" t="s">
        <v>35</v>
      </c>
      <c r="H72" s="72" t="s">
        <v>36</v>
      </c>
      <c r="I72" s="57" t="s">
        <v>37</v>
      </c>
      <c r="J72" s="74" t="s">
        <v>38</v>
      </c>
      <c r="K72" s="57" t="s">
        <v>39</v>
      </c>
      <c r="L72" s="57" t="s">
        <v>40</v>
      </c>
      <c r="M72" s="65"/>
      <c r="N72" s="65"/>
      <c r="O72" s="65"/>
      <c r="P72" s="65"/>
      <c r="Q72" s="65"/>
      <c r="R72" s="65"/>
      <c r="S72" s="65"/>
      <c r="T72" s="65"/>
      <c r="U72" s="65"/>
      <c r="V72" s="65"/>
      <c r="W72" s="65"/>
      <c r="X72" s="65"/>
      <c r="Y72" s="65"/>
      <c r="Z72" s="66"/>
      <c r="AA72" s="66"/>
      <c r="AB72" s="66"/>
    </row>
    <row r="73" outlineLevel="1">
      <c r="A73" s="71"/>
      <c r="B73" s="74"/>
      <c r="C73" s="75"/>
      <c r="D73" s="76"/>
      <c r="E73" s="77"/>
      <c r="F73" s="78"/>
      <c r="G73" s="79"/>
      <c r="H73" s="80"/>
      <c r="I73" s="81"/>
      <c r="J73" s="82"/>
      <c r="K73" s="83"/>
      <c r="L73" s="84">
        <f>(L69+J73)-K73</f>
        <v>68.45</v>
      </c>
      <c r="M73" s="65"/>
      <c r="N73" s="65"/>
      <c r="O73" s="65"/>
      <c r="P73" s="65"/>
      <c r="Q73" s="65"/>
      <c r="R73" s="65"/>
      <c r="S73" s="65"/>
      <c r="T73" s="65"/>
      <c r="U73" s="65"/>
      <c r="V73" s="65"/>
      <c r="W73" s="65"/>
      <c r="X73" s="65"/>
      <c r="Y73" s="65"/>
      <c r="Z73" s="66"/>
      <c r="AA73" s="66"/>
      <c r="AB73" s="66"/>
    </row>
    <row r="74" outlineLevel="1">
      <c r="A74" s="71">
        <v>46083.0</v>
      </c>
      <c r="B74" s="74">
        <v>0.1</v>
      </c>
      <c r="C74" s="75">
        <v>0.1</v>
      </c>
      <c r="D74" s="76">
        <v>0.05</v>
      </c>
      <c r="E74" s="77">
        <v>3.0</v>
      </c>
      <c r="F74" s="78">
        <v>1000.0</v>
      </c>
      <c r="G74" s="79">
        <f t="shared" ref="G74:G78" si="21">L73*C74</f>
        <v>6.845</v>
      </c>
      <c r="H74" s="80">
        <f t="shared" ref="H74:H78" si="22">L73*D74</f>
        <v>3.4225</v>
      </c>
      <c r="I74" s="81">
        <f t="shared" ref="I74:I78" si="23">(J74/L73)*100</f>
        <v>47.18772827</v>
      </c>
      <c r="J74" s="82">
        <v>32.3</v>
      </c>
      <c r="K74" s="83"/>
      <c r="L74" s="84">
        <f>(L73+J74)-K74</f>
        <v>100.75</v>
      </c>
      <c r="M74" s="65"/>
      <c r="N74" s="65"/>
      <c r="O74" s="65"/>
      <c r="P74" s="65"/>
      <c r="Q74" s="65"/>
      <c r="R74" s="65"/>
      <c r="S74" s="65"/>
      <c r="T74" s="65"/>
      <c r="U74" s="65"/>
      <c r="V74" s="65"/>
      <c r="W74" s="65"/>
      <c r="X74" s="65"/>
      <c r="Y74" s="65"/>
      <c r="Z74" s="66"/>
      <c r="AA74" s="66"/>
      <c r="AB74" s="66"/>
    </row>
    <row r="75" outlineLevel="1">
      <c r="A75" s="71">
        <v>46084.0</v>
      </c>
      <c r="B75" s="74">
        <v>0.1</v>
      </c>
      <c r="C75" s="75">
        <v>0.1</v>
      </c>
      <c r="D75" s="76">
        <v>0.05</v>
      </c>
      <c r="E75" s="77">
        <v>3.0</v>
      </c>
      <c r="F75" s="78">
        <v>1000.0</v>
      </c>
      <c r="G75" s="79">
        <f t="shared" si="21"/>
        <v>10.075</v>
      </c>
      <c r="H75" s="80">
        <f t="shared" si="22"/>
        <v>5.0375</v>
      </c>
      <c r="I75" s="81">
        <f t="shared" si="23"/>
        <v>0.2282878412</v>
      </c>
      <c r="J75" s="82">
        <v>0.23</v>
      </c>
      <c r="K75" s="83"/>
      <c r="L75" s="84">
        <f>(L74+J75)-K75-K105</f>
        <v>50.98</v>
      </c>
      <c r="M75" s="65"/>
      <c r="N75" s="65"/>
      <c r="O75" s="65"/>
      <c r="P75" s="65"/>
      <c r="Q75" s="65"/>
      <c r="R75" s="65"/>
      <c r="S75" s="65"/>
      <c r="T75" s="65"/>
      <c r="U75" s="65"/>
      <c r="V75" s="65"/>
      <c r="W75" s="65"/>
      <c r="X75" s="65"/>
      <c r="Y75" s="65"/>
      <c r="Z75" s="66"/>
      <c r="AA75" s="66"/>
      <c r="AB75" s="66"/>
    </row>
    <row r="76" outlineLevel="1">
      <c r="A76" s="71">
        <v>46085.0</v>
      </c>
      <c r="B76" s="74">
        <v>0.1</v>
      </c>
      <c r="C76" s="75">
        <v>0.1</v>
      </c>
      <c r="D76" s="76">
        <v>0.05</v>
      </c>
      <c r="E76" s="77">
        <v>3.0</v>
      </c>
      <c r="F76" s="78">
        <v>1000.0</v>
      </c>
      <c r="G76" s="79">
        <f t="shared" si="21"/>
        <v>5.098</v>
      </c>
      <c r="H76" s="80">
        <f t="shared" si="22"/>
        <v>2.549</v>
      </c>
      <c r="I76" s="81">
        <f t="shared" si="23"/>
        <v>6.669282071</v>
      </c>
      <c r="J76" s="82">
        <v>3.4</v>
      </c>
      <c r="K76" s="83"/>
      <c r="L76" s="84">
        <f t="shared" ref="L76:L103" si="24">(L75+J76)-K76</f>
        <v>54.38</v>
      </c>
      <c r="M76" s="65"/>
      <c r="N76" s="65"/>
      <c r="O76" s="65"/>
      <c r="P76" s="65"/>
      <c r="Q76" s="65"/>
      <c r="R76" s="65"/>
      <c r="S76" s="65"/>
      <c r="T76" s="65"/>
      <c r="U76" s="65"/>
      <c r="V76" s="65"/>
      <c r="W76" s="65"/>
      <c r="X76" s="65"/>
      <c r="Y76" s="65"/>
      <c r="Z76" s="66"/>
      <c r="AA76" s="66"/>
      <c r="AB76" s="66"/>
    </row>
    <row r="77" outlineLevel="1">
      <c r="A77" s="71">
        <v>46086.0</v>
      </c>
      <c r="B77" s="74">
        <v>0.1</v>
      </c>
      <c r="C77" s="75">
        <v>0.1</v>
      </c>
      <c r="D77" s="76">
        <v>0.05</v>
      </c>
      <c r="E77" s="77">
        <v>3.0</v>
      </c>
      <c r="F77" s="78">
        <v>1000.0</v>
      </c>
      <c r="G77" s="79">
        <f t="shared" si="21"/>
        <v>5.438</v>
      </c>
      <c r="H77" s="80">
        <f t="shared" si="22"/>
        <v>2.719</v>
      </c>
      <c r="I77" s="81">
        <f t="shared" si="23"/>
        <v>-4.229496138</v>
      </c>
      <c r="J77" s="82">
        <v>-2.3</v>
      </c>
      <c r="K77" s="83"/>
      <c r="L77" s="84">
        <f t="shared" si="24"/>
        <v>52.08</v>
      </c>
      <c r="M77" s="65"/>
      <c r="N77" s="65"/>
      <c r="O77" s="65"/>
      <c r="P77" s="65"/>
      <c r="Q77" s="65"/>
      <c r="R77" s="65"/>
      <c r="S77" s="65"/>
      <c r="T77" s="65"/>
      <c r="U77" s="65"/>
      <c r="V77" s="65"/>
      <c r="W77" s="65"/>
      <c r="X77" s="65"/>
      <c r="Y77" s="65"/>
      <c r="Z77" s="66"/>
      <c r="AA77" s="66"/>
      <c r="AB77" s="66"/>
    </row>
    <row r="78" outlineLevel="1">
      <c r="A78" s="71">
        <v>46087.0</v>
      </c>
      <c r="B78" s="74">
        <v>0.1</v>
      </c>
      <c r="C78" s="75">
        <v>0.1</v>
      </c>
      <c r="D78" s="76">
        <v>0.05</v>
      </c>
      <c r="E78" s="77">
        <v>3.0</v>
      </c>
      <c r="F78" s="78">
        <v>1000.0</v>
      </c>
      <c r="G78" s="79">
        <f t="shared" si="21"/>
        <v>5.208</v>
      </c>
      <c r="H78" s="80">
        <f t="shared" si="22"/>
        <v>2.604</v>
      </c>
      <c r="I78" s="81">
        <f t="shared" si="23"/>
        <v>-1.728110599</v>
      </c>
      <c r="J78" s="82">
        <v>-0.9</v>
      </c>
      <c r="K78" s="83"/>
      <c r="L78" s="84">
        <f t="shared" si="24"/>
        <v>51.18</v>
      </c>
      <c r="M78" s="65"/>
      <c r="N78" s="65"/>
      <c r="O78" s="65"/>
      <c r="P78" s="65"/>
      <c r="Q78" s="65"/>
      <c r="R78" s="65"/>
      <c r="S78" s="65"/>
      <c r="T78" s="65"/>
      <c r="U78" s="65"/>
      <c r="V78" s="65"/>
      <c r="W78" s="65"/>
      <c r="X78" s="65"/>
      <c r="Y78" s="65"/>
      <c r="Z78" s="66"/>
      <c r="AA78" s="66"/>
      <c r="AB78" s="66"/>
    </row>
    <row r="79" outlineLevel="1">
      <c r="A79" s="71"/>
      <c r="B79" s="74"/>
      <c r="C79" s="75"/>
      <c r="D79" s="76"/>
      <c r="E79" s="77"/>
      <c r="F79" s="78"/>
      <c r="G79" s="79"/>
      <c r="H79" s="80"/>
      <c r="I79" s="81"/>
      <c r="J79" s="82"/>
      <c r="K79" s="83"/>
      <c r="L79" s="84">
        <f t="shared" si="24"/>
        <v>51.18</v>
      </c>
      <c r="M79" s="65"/>
      <c r="N79" s="65"/>
      <c r="O79" s="65"/>
      <c r="P79" s="65"/>
      <c r="Q79" s="65"/>
      <c r="R79" s="65"/>
      <c r="S79" s="65"/>
      <c r="T79" s="65"/>
      <c r="U79" s="65"/>
      <c r="V79" s="65"/>
      <c r="W79" s="65"/>
      <c r="X79" s="65"/>
      <c r="Y79" s="65"/>
      <c r="Z79" s="66"/>
      <c r="AA79" s="66"/>
      <c r="AB79" s="66"/>
    </row>
    <row r="80" outlineLevel="1">
      <c r="A80" s="71"/>
      <c r="B80" s="74"/>
      <c r="C80" s="75"/>
      <c r="D80" s="76"/>
      <c r="E80" s="77"/>
      <c r="F80" s="78"/>
      <c r="G80" s="79"/>
      <c r="H80" s="80"/>
      <c r="I80" s="81"/>
      <c r="J80" s="82"/>
      <c r="K80" s="83"/>
      <c r="L80" s="84">
        <f t="shared" si="24"/>
        <v>51.18</v>
      </c>
      <c r="M80" s="65"/>
      <c r="N80" s="65"/>
      <c r="O80" s="65"/>
      <c r="P80" s="65"/>
      <c r="Q80" s="65"/>
      <c r="R80" s="65"/>
      <c r="S80" s="65"/>
      <c r="T80" s="65"/>
      <c r="U80" s="65"/>
      <c r="V80" s="65"/>
      <c r="W80" s="65"/>
      <c r="X80" s="65"/>
      <c r="Y80" s="65"/>
      <c r="Z80" s="66"/>
      <c r="AA80" s="66"/>
      <c r="AB80" s="66"/>
    </row>
    <row r="81" outlineLevel="1">
      <c r="A81" s="71">
        <v>46090.0</v>
      </c>
      <c r="B81" s="74">
        <v>0.1</v>
      </c>
      <c r="C81" s="75">
        <v>0.1</v>
      </c>
      <c r="D81" s="76">
        <v>0.05</v>
      </c>
      <c r="E81" s="77">
        <v>3.0</v>
      </c>
      <c r="F81" s="78">
        <v>1000.0</v>
      </c>
      <c r="G81" s="79">
        <f t="shared" ref="G81:G85" si="25">L80*C81</f>
        <v>5.118</v>
      </c>
      <c r="H81" s="80">
        <f t="shared" ref="H81:H85" si="26">L80*D81</f>
        <v>2.559</v>
      </c>
      <c r="I81" s="81">
        <f t="shared" ref="I81:I85" si="27">(J81/L80)*100</f>
        <v>12.32903478</v>
      </c>
      <c r="J81" s="82">
        <v>6.31</v>
      </c>
      <c r="K81" s="83"/>
      <c r="L81" s="84">
        <f t="shared" si="24"/>
        <v>57.49</v>
      </c>
      <c r="M81" s="65"/>
      <c r="N81" s="65"/>
      <c r="O81" s="65"/>
      <c r="P81" s="65"/>
      <c r="Q81" s="65"/>
      <c r="R81" s="65"/>
      <c r="S81" s="65"/>
      <c r="T81" s="65"/>
      <c r="U81" s="65"/>
      <c r="V81" s="65"/>
      <c r="W81" s="65"/>
      <c r="X81" s="65"/>
      <c r="Y81" s="65"/>
      <c r="Z81" s="66"/>
      <c r="AA81" s="66"/>
      <c r="AB81" s="66"/>
    </row>
    <row r="82" outlineLevel="1">
      <c r="A82" s="71">
        <v>46091.0</v>
      </c>
      <c r="B82" s="74">
        <v>0.1</v>
      </c>
      <c r="C82" s="75">
        <v>0.1</v>
      </c>
      <c r="D82" s="76">
        <v>0.05</v>
      </c>
      <c r="E82" s="77">
        <v>3.0</v>
      </c>
      <c r="F82" s="78">
        <v>1000.0</v>
      </c>
      <c r="G82" s="79">
        <f t="shared" si="25"/>
        <v>5.749</v>
      </c>
      <c r="H82" s="80">
        <f t="shared" si="26"/>
        <v>2.8745</v>
      </c>
      <c r="I82" s="81">
        <f t="shared" si="27"/>
        <v>-4.574708645</v>
      </c>
      <c r="J82" s="82">
        <v>-2.63</v>
      </c>
      <c r="K82" s="83"/>
      <c r="L82" s="84">
        <f t="shared" si="24"/>
        <v>54.86</v>
      </c>
      <c r="M82" s="65"/>
      <c r="N82" s="65"/>
      <c r="O82" s="65"/>
      <c r="P82" s="65"/>
      <c r="Q82" s="65"/>
      <c r="R82" s="65"/>
      <c r="S82" s="65"/>
      <c r="T82" s="65"/>
      <c r="U82" s="65"/>
      <c r="V82" s="65"/>
      <c r="W82" s="65"/>
      <c r="X82" s="65"/>
      <c r="Y82" s="65"/>
      <c r="Z82" s="66"/>
      <c r="AA82" s="66"/>
      <c r="AB82" s="66"/>
    </row>
    <row r="83" outlineLevel="1">
      <c r="A83" s="71">
        <v>46092.0</v>
      </c>
      <c r="B83" s="74">
        <v>0.1</v>
      </c>
      <c r="C83" s="75">
        <v>0.1</v>
      </c>
      <c r="D83" s="76">
        <v>0.05</v>
      </c>
      <c r="E83" s="77">
        <v>3.0</v>
      </c>
      <c r="F83" s="78">
        <v>1000.0</v>
      </c>
      <c r="G83" s="79">
        <f t="shared" si="25"/>
        <v>5.486</v>
      </c>
      <c r="H83" s="80">
        <f t="shared" si="26"/>
        <v>2.743</v>
      </c>
      <c r="I83" s="81">
        <f t="shared" si="27"/>
        <v>10.40831207</v>
      </c>
      <c r="J83" s="82">
        <v>5.71</v>
      </c>
      <c r="K83" s="83"/>
      <c r="L83" s="84">
        <f t="shared" si="24"/>
        <v>60.57</v>
      </c>
      <c r="M83" s="65"/>
      <c r="N83" s="65"/>
      <c r="O83" s="65"/>
      <c r="P83" s="65"/>
      <c r="Q83" s="65"/>
      <c r="R83" s="65"/>
      <c r="S83" s="65"/>
      <c r="T83" s="65"/>
      <c r="U83" s="65"/>
      <c r="V83" s="65"/>
      <c r="W83" s="65"/>
      <c r="X83" s="65"/>
      <c r="Y83" s="65"/>
      <c r="Z83" s="66"/>
      <c r="AA83" s="66"/>
      <c r="AB83" s="66"/>
    </row>
    <row r="84" outlineLevel="1">
      <c r="A84" s="71">
        <v>46093.0</v>
      </c>
      <c r="B84" s="74">
        <v>0.1</v>
      </c>
      <c r="C84" s="75">
        <v>0.1</v>
      </c>
      <c r="D84" s="76">
        <v>0.05</v>
      </c>
      <c r="E84" s="77">
        <v>3.0</v>
      </c>
      <c r="F84" s="78">
        <v>1000.0</v>
      </c>
      <c r="G84" s="79">
        <f t="shared" si="25"/>
        <v>6.057</v>
      </c>
      <c r="H84" s="80">
        <f t="shared" si="26"/>
        <v>3.0285</v>
      </c>
      <c r="I84" s="81">
        <f t="shared" si="27"/>
        <v>0.2146277035</v>
      </c>
      <c r="J84" s="82">
        <v>0.13</v>
      </c>
      <c r="K84" s="83"/>
      <c r="L84" s="84">
        <f t="shared" si="24"/>
        <v>60.7</v>
      </c>
      <c r="M84" s="65"/>
      <c r="N84" s="65"/>
      <c r="O84" s="65"/>
      <c r="P84" s="65"/>
      <c r="Q84" s="65"/>
      <c r="R84" s="65"/>
      <c r="S84" s="65"/>
      <c r="T84" s="65"/>
      <c r="U84" s="65"/>
      <c r="V84" s="65"/>
      <c r="W84" s="65"/>
      <c r="X84" s="65"/>
      <c r="Y84" s="65"/>
      <c r="Z84" s="66"/>
      <c r="AA84" s="66"/>
      <c r="AB84" s="66"/>
    </row>
    <row r="85" outlineLevel="1">
      <c r="A85" s="71">
        <v>46094.0</v>
      </c>
      <c r="B85" s="74">
        <v>0.1</v>
      </c>
      <c r="C85" s="75">
        <v>0.1</v>
      </c>
      <c r="D85" s="76">
        <v>0.05</v>
      </c>
      <c r="E85" s="77">
        <v>3.0</v>
      </c>
      <c r="F85" s="78">
        <v>1000.0</v>
      </c>
      <c r="G85" s="79">
        <f t="shared" si="25"/>
        <v>6.07</v>
      </c>
      <c r="H85" s="80">
        <f t="shared" si="26"/>
        <v>3.035</v>
      </c>
      <c r="I85" s="81">
        <f t="shared" si="27"/>
        <v>12.76771005</v>
      </c>
      <c r="J85" s="82">
        <v>7.75</v>
      </c>
      <c r="K85" s="83"/>
      <c r="L85" s="84">
        <f t="shared" si="24"/>
        <v>68.45</v>
      </c>
      <c r="M85" s="65"/>
      <c r="N85" s="65"/>
      <c r="O85" s="65"/>
      <c r="P85" s="65"/>
      <c r="Q85" s="65"/>
      <c r="R85" s="65"/>
      <c r="S85" s="65"/>
      <c r="T85" s="65"/>
      <c r="U85" s="65"/>
      <c r="V85" s="65"/>
      <c r="W85" s="65"/>
      <c r="X85" s="65"/>
      <c r="Y85" s="65"/>
      <c r="Z85" s="66"/>
      <c r="AA85" s="66"/>
      <c r="AB85" s="66"/>
    </row>
    <row r="86" outlineLevel="1">
      <c r="A86" s="71"/>
      <c r="B86" s="74"/>
      <c r="C86" s="75"/>
      <c r="D86" s="76"/>
      <c r="E86" s="77"/>
      <c r="F86" s="78"/>
      <c r="G86" s="79"/>
      <c r="H86" s="80"/>
      <c r="I86" s="81"/>
      <c r="J86" s="82"/>
      <c r="K86" s="83"/>
      <c r="L86" s="84">
        <f t="shared" si="24"/>
        <v>68.45</v>
      </c>
      <c r="M86" s="65"/>
      <c r="N86" s="65"/>
      <c r="O86" s="65"/>
      <c r="P86" s="65"/>
      <c r="Q86" s="65"/>
      <c r="R86" s="65"/>
      <c r="S86" s="65"/>
      <c r="T86" s="65"/>
      <c r="U86" s="65"/>
      <c r="V86" s="65"/>
      <c r="W86" s="65"/>
      <c r="X86" s="65"/>
      <c r="Y86" s="65"/>
      <c r="Z86" s="66"/>
      <c r="AA86" s="66"/>
      <c r="AB86" s="66"/>
    </row>
    <row r="87" outlineLevel="1">
      <c r="A87" s="71"/>
      <c r="B87" s="74"/>
      <c r="C87" s="75"/>
      <c r="D87" s="76"/>
      <c r="E87" s="77"/>
      <c r="F87" s="78"/>
      <c r="G87" s="79"/>
      <c r="H87" s="80"/>
      <c r="I87" s="81"/>
      <c r="J87" s="82"/>
      <c r="K87" s="83"/>
      <c r="L87" s="84">
        <f t="shared" si="24"/>
        <v>68.45</v>
      </c>
      <c r="M87" s="65"/>
      <c r="N87" s="65"/>
      <c r="O87" s="65"/>
      <c r="P87" s="65"/>
      <c r="Q87" s="65"/>
      <c r="R87" s="65"/>
      <c r="S87" s="65"/>
      <c r="T87" s="65"/>
      <c r="U87" s="65"/>
      <c r="V87" s="65"/>
      <c r="W87" s="65"/>
      <c r="X87" s="65"/>
      <c r="Y87" s="65"/>
      <c r="Z87" s="66"/>
      <c r="AA87" s="66"/>
      <c r="AB87" s="66"/>
    </row>
    <row r="88" outlineLevel="1">
      <c r="A88" s="71">
        <v>46097.0</v>
      </c>
      <c r="B88" s="74">
        <v>0.1</v>
      </c>
      <c r="C88" s="75">
        <v>0.1</v>
      </c>
      <c r="D88" s="76">
        <v>0.05</v>
      </c>
      <c r="E88" s="77">
        <v>3.0</v>
      </c>
      <c r="F88" s="78">
        <v>1000.0</v>
      </c>
      <c r="G88" s="79">
        <f t="shared" ref="G88:G92" si="28">L87*C88</f>
        <v>6.845</v>
      </c>
      <c r="H88" s="80">
        <f t="shared" ref="H88:H92" si="29">L87*D88</f>
        <v>3.4225</v>
      </c>
      <c r="I88" s="81">
        <f t="shared" ref="I88:I92" si="30">(J88/L87)*100</f>
        <v>14.28780131</v>
      </c>
      <c r="J88" s="82">
        <v>9.78</v>
      </c>
      <c r="K88" s="83"/>
      <c r="L88" s="84">
        <f t="shared" si="24"/>
        <v>78.23</v>
      </c>
      <c r="M88" s="65"/>
      <c r="N88" s="65"/>
      <c r="O88" s="65"/>
      <c r="P88" s="65"/>
      <c r="Q88" s="65"/>
      <c r="R88" s="65"/>
      <c r="S88" s="65"/>
      <c r="T88" s="65"/>
      <c r="U88" s="65"/>
      <c r="V88" s="65"/>
      <c r="W88" s="65"/>
      <c r="X88" s="65"/>
      <c r="Y88" s="65"/>
      <c r="Z88" s="66"/>
      <c r="AA88" s="66"/>
      <c r="AB88" s="66"/>
    </row>
    <row r="89" outlineLevel="1">
      <c r="A89" s="71">
        <v>46098.0</v>
      </c>
      <c r="B89" s="74">
        <v>0.1</v>
      </c>
      <c r="C89" s="75">
        <v>0.1</v>
      </c>
      <c r="D89" s="76">
        <v>0.05</v>
      </c>
      <c r="E89" s="77">
        <v>3.0</v>
      </c>
      <c r="F89" s="78">
        <v>1000.0</v>
      </c>
      <c r="G89" s="79">
        <f t="shared" si="28"/>
        <v>7.823</v>
      </c>
      <c r="H89" s="80">
        <f t="shared" si="29"/>
        <v>3.9115</v>
      </c>
      <c r="I89" s="81">
        <f t="shared" si="30"/>
        <v>0.8947973923</v>
      </c>
      <c r="J89" s="82">
        <v>0.7</v>
      </c>
      <c r="K89" s="83"/>
      <c r="L89" s="84">
        <f t="shared" si="24"/>
        <v>78.93</v>
      </c>
      <c r="M89" s="65"/>
      <c r="N89" s="65"/>
      <c r="O89" s="65"/>
      <c r="P89" s="65"/>
      <c r="Q89" s="65"/>
      <c r="R89" s="65"/>
      <c r="S89" s="65"/>
      <c r="T89" s="65"/>
      <c r="U89" s="65"/>
      <c r="V89" s="65"/>
      <c r="W89" s="65"/>
      <c r="X89" s="65"/>
      <c r="Y89" s="65"/>
      <c r="Z89" s="66"/>
      <c r="AA89" s="66"/>
      <c r="AB89" s="66"/>
    </row>
    <row r="90" outlineLevel="1">
      <c r="A90" s="71">
        <v>46099.0</v>
      </c>
      <c r="B90" s="74">
        <v>0.1</v>
      </c>
      <c r="C90" s="75">
        <v>0.1</v>
      </c>
      <c r="D90" s="76">
        <v>0.05</v>
      </c>
      <c r="E90" s="77">
        <v>3.0</v>
      </c>
      <c r="F90" s="78">
        <v>1000.0</v>
      </c>
      <c r="G90" s="79">
        <f t="shared" si="28"/>
        <v>7.893</v>
      </c>
      <c r="H90" s="80">
        <f t="shared" si="29"/>
        <v>3.9465</v>
      </c>
      <c r="I90" s="81">
        <f t="shared" si="30"/>
        <v>-61.33282656</v>
      </c>
      <c r="J90" s="82">
        <v>-48.41</v>
      </c>
      <c r="K90" s="83"/>
      <c r="L90" s="84">
        <f t="shared" si="24"/>
        <v>30.52</v>
      </c>
      <c r="M90" s="65"/>
      <c r="N90" s="65"/>
      <c r="O90" s="65"/>
      <c r="P90" s="65"/>
      <c r="Q90" s="65"/>
      <c r="R90" s="65"/>
      <c r="S90" s="65"/>
      <c r="T90" s="65"/>
      <c r="U90" s="65"/>
      <c r="V90" s="65"/>
      <c r="W90" s="65"/>
      <c r="X90" s="65"/>
      <c r="Y90" s="65"/>
      <c r="Z90" s="66"/>
      <c r="AA90" s="66"/>
      <c r="AB90" s="66"/>
    </row>
    <row r="91" outlineLevel="1">
      <c r="A91" s="71">
        <v>46100.0</v>
      </c>
      <c r="B91" s="74">
        <v>0.1</v>
      </c>
      <c r="C91" s="75">
        <v>0.1</v>
      </c>
      <c r="D91" s="76">
        <v>0.05</v>
      </c>
      <c r="E91" s="77">
        <v>3.0</v>
      </c>
      <c r="F91" s="78">
        <v>1000.0</v>
      </c>
      <c r="G91" s="79">
        <f t="shared" si="28"/>
        <v>3.052</v>
      </c>
      <c r="H91" s="80">
        <f t="shared" si="29"/>
        <v>1.526</v>
      </c>
      <c r="I91" s="81">
        <f t="shared" si="30"/>
        <v>1.900393185</v>
      </c>
      <c r="J91" s="82">
        <v>0.58</v>
      </c>
      <c r="K91" s="83"/>
      <c r="L91" s="84">
        <f t="shared" si="24"/>
        <v>31.1</v>
      </c>
      <c r="M91" s="65"/>
      <c r="N91" s="65"/>
      <c r="O91" s="65"/>
      <c r="P91" s="65"/>
      <c r="Q91" s="65"/>
      <c r="R91" s="65"/>
      <c r="S91" s="65"/>
      <c r="T91" s="65"/>
      <c r="U91" s="65"/>
      <c r="V91" s="65"/>
      <c r="W91" s="65"/>
      <c r="X91" s="65"/>
      <c r="Y91" s="65"/>
      <c r="Z91" s="66"/>
      <c r="AA91" s="66"/>
      <c r="AB91" s="66"/>
    </row>
    <row r="92" outlineLevel="1">
      <c r="A92" s="71">
        <v>46101.0</v>
      </c>
      <c r="B92" s="74">
        <v>0.1</v>
      </c>
      <c r="C92" s="75">
        <v>0.1</v>
      </c>
      <c r="D92" s="76">
        <v>0.05</v>
      </c>
      <c r="E92" s="77">
        <v>3.0</v>
      </c>
      <c r="F92" s="78">
        <v>1000.0</v>
      </c>
      <c r="G92" s="79">
        <f t="shared" si="28"/>
        <v>3.11</v>
      </c>
      <c r="H92" s="80">
        <f t="shared" si="29"/>
        <v>1.555</v>
      </c>
      <c r="I92" s="81">
        <f t="shared" si="30"/>
        <v>14.50160772</v>
      </c>
      <c r="J92" s="82">
        <v>4.51</v>
      </c>
      <c r="K92" s="83"/>
      <c r="L92" s="84">
        <f t="shared" si="24"/>
        <v>35.61</v>
      </c>
      <c r="M92" s="65"/>
      <c r="N92" s="65"/>
      <c r="O92" s="65"/>
      <c r="P92" s="65"/>
      <c r="Q92" s="65"/>
      <c r="R92" s="65"/>
      <c r="S92" s="65"/>
      <c r="T92" s="65"/>
      <c r="U92" s="65"/>
      <c r="V92" s="65"/>
      <c r="W92" s="65"/>
      <c r="X92" s="65"/>
      <c r="Y92" s="65"/>
      <c r="Z92" s="66"/>
      <c r="AA92" s="66"/>
      <c r="AB92" s="66"/>
    </row>
    <row r="93" outlineLevel="1">
      <c r="A93" s="71"/>
      <c r="B93" s="74"/>
      <c r="C93" s="75"/>
      <c r="D93" s="76"/>
      <c r="E93" s="77"/>
      <c r="F93" s="78"/>
      <c r="G93" s="79"/>
      <c r="H93" s="80"/>
      <c r="I93" s="81"/>
      <c r="J93" s="82"/>
      <c r="K93" s="83"/>
      <c r="L93" s="84">
        <f t="shared" si="24"/>
        <v>35.61</v>
      </c>
      <c r="M93" s="65"/>
      <c r="N93" s="65"/>
      <c r="O93" s="65"/>
      <c r="P93" s="65"/>
      <c r="Q93" s="65"/>
      <c r="R93" s="65"/>
      <c r="S93" s="65"/>
      <c r="T93" s="65"/>
      <c r="U93" s="65"/>
      <c r="V93" s="65"/>
      <c r="W93" s="65"/>
      <c r="X93" s="65"/>
      <c r="Y93" s="65"/>
      <c r="Z93" s="66"/>
      <c r="AA93" s="66"/>
      <c r="AB93" s="66"/>
    </row>
    <row r="94" outlineLevel="1">
      <c r="A94" s="71"/>
      <c r="B94" s="74"/>
      <c r="C94" s="75"/>
      <c r="D94" s="76"/>
      <c r="E94" s="77"/>
      <c r="F94" s="78"/>
      <c r="G94" s="79"/>
      <c r="H94" s="80"/>
      <c r="I94" s="81"/>
      <c r="J94" s="82"/>
      <c r="K94" s="83"/>
      <c r="L94" s="84">
        <f t="shared" si="24"/>
        <v>35.61</v>
      </c>
      <c r="M94" s="65"/>
      <c r="N94" s="65"/>
      <c r="O94" s="65"/>
      <c r="P94" s="65"/>
      <c r="Q94" s="65"/>
      <c r="R94" s="65"/>
      <c r="S94" s="65"/>
      <c r="T94" s="65"/>
      <c r="U94" s="65"/>
      <c r="V94" s="65"/>
      <c r="W94" s="65"/>
      <c r="X94" s="65"/>
      <c r="Y94" s="65"/>
      <c r="Z94" s="66"/>
      <c r="AA94" s="66"/>
      <c r="AB94" s="66"/>
    </row>
    <row r="95" outlineLevel="1">
      <c r="A95" s="71">
        <v>46104.0</v>
      </c>
      <c r="B95" s="74">
        <v>0.1</v>
      </c>
      <c r="C95" s="75">
        <v>0.1</v>
      </c>
      <c r="D95" s="76">
        <v>0.05</v>
      </c>
      <c r="E95" s="77">
        <v>3.0</v>
      </c>
      <c r="F95" s="78">
        <v>1000.0</v>
      </c>
      <c r="G95" s="79">
        <f t="shared" ref="G95:G99" si="31">L94*C95</f>
        <v>3.561</v>
      </c>
      <c r="H95" s="80">
        <f t="shared" ref="H95:H99" si="32">L94*D95</f>
        <v>1.7805</v>
      </c>
      <c r="I95" s="81">
        <f t="shared" ref="I95:I99" si="33">(J95/L94)*100</f>
        <v>-100</v>
      </c>
      <c r="J95" s="82">
        <v>-35.61</v>
      </c>
      <c r="K95" s="83"/>
      <c r="L95" s="84">
        <f t="shared" si="24"/>
        <v>0</v>
      </c>
      <c r="M95" s="65"/>
      <c r="N95" s="65"/>
      <c r="O95" s="65"/>
      <c r="P95" s="65"/>
      <c r="Q95" s="65"/>
      <c r="R95" s="65"/>
      <c r="S95" s="65"/>
      <c r="T95" s="65"/>
      <c r="U95" s="65"/>
      <c r="V95" s="65"/>
      <c r="W95" s="65"/>
      <c r="X95" s="65"/>
      <c r="Y95" s="65"/>
      <c r="Z95" s="66"/>
      <c r="AA95" s="66"/>
      <c r="AB95" s="66"/>
    </row>
    <row r="96" outlineLevel="1">
      <c r="A96" s="71">
        <v>46105.0</v>
      </c>
      <c r="B96" s="74">
        <v>0.1</v>
      </c>
      <c r="C96" s="75">
        <v>0.1</v>
      </c>
      <c r="D96" s="76">
        <v>0.05</v>
      </c>
      <c r="E96" s="77">
        <v>3.0</v>
      </c>
      <c r="F96" s="78">
        <v>1000.0</v>
      </c>
      <c r="G96" s="79">
        <f t="shared" si="31"/>
        <v>0</v>
      </c>
      <c r="H96" s="80">
        <f t="shared" si="32"/>
        <v>0</v>
      </c>
      <c r="I96" s="81">
        <f t="shared" si="33"/>
        <v>0</v>
      </c>
      <c r="J96" s="82"/>
      <c r="K96" s="83"/>
      <c r="L96" s="84">
        <f t="shared" si="24"/>
        <v>0</v>
      </c>
      <c r="M96" s="65"/>
      <c r="N96" s="65"/>
      <c r="O96" s="65"/>
      <c r="P96" s="65"/>
      <c r="Q96" s="65"/>
      <c r="R96" s="65"/>
      <c r="S96" s="65"/>
      <c r="T96" s="65"/>
      <c r="U96" s="65"/>
      <c r="V96" s="65"/>
      <c r="W96" s="65"/>
      <c r="X96" s="65"/>
      <c r="Y96" s="65"/>
      <c r="Z96" s="66"/>
      <c r="AA96" s="66"/>
      <c r="AB96" s="66"/>
    </row>
    <row r="97" outlineLevel="1">
      <c r="A97" s="71">
        <v>46106.0</v>
      </c>
      <c r="B97" s="74">
        <v>0.1</v>
      </c>
      <c r="C97" s="75">
        <v>0.1</v>
      </c>
      <c r="D97" s="76">
        <v>0.05</v>
      </c>
      <c r="E97" s="77">
        <v>3.0</v>
      </c>
      <c r="F97" s="78">
        <v>1000.0</v>
      </c>
      <c r="G97" s="79">
        <f t="shared" si="31"/>
        <v>0</v>
      </c>
      <c r="H97" s="80">
        <f t="shared" si="32"/>
        <v>0</v>
      </c>
      <c r="I97" s="81">
        <f t="shared" si="33"/>
        <v>0</v>
      </c>
      <c r="J97" s="82"/>
      <c r="K97" s="83"/>
      <c r="L97" s="84">
        <f t="shared" si="24"/>
        <v>0</v>
      </c>
      <c r="M97" s="65"/>
      <c r="N97" s="65"/>
      <c r="O97" s="65"/>
      <c r="P97" s="65"/>
      <c r="Q97" s="65"/>
      <c r="R97" s="65"/>
      <c r="S97" s="65"/>
      <c r="T97" s="65"/>
      <c r="U97" s="65"/>
      <c r="V97" s="65"/>
      <c r="W97" s="65"/>
      <c r="X97" s="65"/>
      <c r="Y97" s="65"/>
      <c r="Z97" s="66"/>
      <c r="AA97" s="66"/>
      <c r="AB97" s="66"/>
    </row>
    <row r="98" outlineLevel="1">
      <c r="A98" s="71">
        <v>46107.0</v>
      </c>
      <c r="B98" s="74">
        <v>0.1</v>
      </c>
      <c r="C98" s="75">
        <v>0.1</v>
      </c>
      <c r="D98" s="76">
        <v>0.05</v>
      </c>
      <c r="E98" s="77">
        <v>3.0</v>
      </c>
      <c r="F98" s="78">
        <v>1000.0</v>
      </c>
      <c r="G98" s="79">
        <f t="shared" si="31"/>
        <v>0</v>
      </c>
      <c r="H98" s="80">
        <f t="shared" si="32"/>
        <v>0</v>
      </c>
      <c r="I98" s="81">
        <f t="shared" si="33"/>
        <v>0</v>
      </c>
      <c r="J98" s="82"/>
      <c r="K98" s="83"/>
      <c r="L98" s="84">
        <f t="shared" si="24"/>
        <v>0</v>
      </c>
      <c r="M98" s="65"/>
      <c r="N98" s="65"/>
      <c r="O98" s="65"/>
      <c r="P98" s="65"/>
      <c r="Q98" s="65"/>
      <c r="R98" s="65"/>
      <c r="S98" s="65"/>
      <c r="T98" s="65"/>
      <c r="U98" s="65"/>
      <c r="V98" s="65"/>
      <c r="W98" s="65"/>
      <c r="X98" s="65"/>
      <c r="Y98" s="65"/>
      <c r="Z98" s="66"/>
      <c r="AA98" s="66"/>
      <c r="AB98" s="66"/>
    </row>
    <row r="99" outlineLevel="1">
      <c r="A99" s="71">
        <v>46108.0</v>
      </c>
      <c r="B99" s="74">
        <v>0.1</v>
      </c>
      <c r="C99" s="75">
        <v>0.1</v>
      </c>
      <c r="D99" s="76">
        <v>0.05</v>
      </c>
      <c r="E99" s="77">
        <v>3.0</v>
      </c>
      <c r="F99" s="78">
        <v>1000.0</v>
      </c>
      <c r="G99" s="79">
        <f t="shared" si="31"/>
        <v>0</v>
      </c>
      <c r="H99" s="80">
        <f t="shared" si="32"/>
        <v>0</v>
      </c>
      <c r="I99" s="81">
        <f t="shared" si="33"/>
        <v>0</v>
      </c>
      <c r="J99" s="82"/>
      <c r="K99" s="83"/>
      <c r="L99" s="84">
        <f t="shared" si="24"/>
        <v>0</v>
      </c>
      <c r="M99" s="65"/>
      <c r="N99" s="65"/>
      <c r="O99" s="65"/>
      <c r="P99" s="65"/>
      <c r="Q99" s="65"/>
      <c r="R99" s="65"/>
      <c r="S99" s="65"/>
      <c r="T99" s="65"/>
      <c r="U99" s="65"/>
      <c r="V99" s="65"/>
      <c r="W99" s="65"/>
      <c r="X99" s="65"/>
      <c r="Y99" s="65"/>
      <c r="Z99" s="66"/>
      <c r="AA99" s="66"/>
      <c r="AB99" s="66"/>
    </row>
    <row r="100" outlineLevel="1">
      <c r="A100" s="71"/>
      <c r="B100" s="74"/>
      <c r="C100" s="75"/>
      <c r="D100" s="76"/>
      <c r="E100" s="77"/>
      <c r="F100" s="78"/>
      <c r="G100" s="79"/>
      <c r="H100" s="80"/>
      <c r="I100" s="81"/>
      <c r="J100" s="82"/>
      <c r="K100" s="83"/>
      <c r="L100" s="84">
        <f t="shared" si="24"/>
        <v>0</v>
      </c>
      <c r="M100" s="65"/>
      <c r="N100" s="65"/>
      <c r="O100" s="65"/>
      <c r="P100" s="65"/>
      <c r="Q100" s="65"/>
      <c r="R100" s="65"/>
      <c r="S100" s="65"/>
      <c r="T100" s="65"/>
      <c r="U100" s="65"/>
      <c r="V100" s="65"/>
      <c r="W100" s="65"/>
      <c r="X100" s="65"/>
      <c r="Y100" s="65"/>
      <c r="Z100" s="66"/>
      <c r="AA100" s="66"/>
      <c r="AB100" s="66"/>
    </row>
    <row r="101" outlineLevel="1">
      <c r="A101" s="71"/>
      <c r="B101" s="74"/>
      <c r="C101" s="75"/>
      <c r="D101" s="76"/>
      <c r="E101" s="77"/>
      <c r="F101" s="78"/>
      <c r="G101" s="79"/>
      <c r="H101" s="80"/>
      <c r="I101" s="81"/>
      <c r="J101" s="82"/>
      <c r="K101" s="83"/>
      <c r="L101" s="84">
        <f t="shared" si="24"/>
        <v>0</v>
      </c>
      <c r="M101" s="65"/>
      <c r="N101" s="65"/>
      <c r="O101" s="65"/>
      <c r="P101" s="65"/>
      <c r="Q101" s="65"/>
      <c r="R101" s="65"/>
      <c r="S101" s="65"/>
      <c r="T101" s="65"/>
      <c r="U101" s="65"/>
      <c r="V101" s="65"/>
      <c r="W101" s="65"/>
      <c r="X101" s="65"/>
      <c r="Y101" s="65"/>
      <c r="Z101" s="66"/>
      <c r="AA101" s="66"/>
      <c r="AB101" s="66"/>
    </row>
    <row r="102" outlineLevel="1">
      <c r="A102" s="71">
        <v>46111.0</v>
      </c>
      <c r="B102" s="74">
        <v>0.1</v>
      </c>
      <c r="C102" s="75">
        <v>0.1</v>
      </c>
      <c r="D102" s="76">
        <v>0.05</v>
      </c>
      <c r="E102" s="77">
        <v>3.0</v>
      </c>
      <c r="F102" s="78">
        <v>1000.0</v>
      </c>
      <c r="G102" s="79">
        <f t="shared" ref="G102:G103" si="34">L101*C102</f>
        <v>0</v>
      </c>
      <c r="H102" s="80">
        <f t="shared" ref="H102:H103" si="35">L101*D102</f>
        <v>0</v>
      </c>
      <c r="I102" s="81">
        <f t="shared" ref="I102:I103" si="36">(J102/L101)*100</f>
        <v>0</v>
      </c>
      <c r="J102" s="82"/>
      <c r="K102" s="83"/>
      <c r="L102" s="84">
        <f t="shared" si="24"/>
        <v>0</v>
      </c>
      <c r="M102" s="65"/>
      <c r="N102" s="65"/>
      <c r="O102" s="65"/>
      <c r="P102" s="65"/>
      <c r="Q102" s="65"/>
      <c r="R102" s="65"/>
      <c r="S102" s="65"/>
      <c r="T102" s="65"/>
      <c r="U102" s="65"/>
      <c r="V102" s="65"/>
      <c r="W102" s="65"/>
      <c r="X102" s="65"/>
      <c r="Y102" s="65"/>
      <c r="Z102" s="66"/>
      <c r="AA102" s="66"/>
      <c r="AB102" s="66"/>
    </row>
    <row r="103" outlineLevel="1">
      <c r="A103" s="71">
        <v>46112.0</v>
      </c>
      <c r="B103" s="74">
        <v>0.1</v>
      </c>
      <c r="C103" s="75">
        <v>0.1</v>
      </c>
      <c r="D103" s="76">
        <v>0.05</v>
      </c>
      <c r="E103" s="77">
        <v>3.0</v>
      </c>
      <c r="F103" s="78">
        <v>1000.0</v>
      </c>
      <c r="G103" s="79">
        <f t="shared" si="34"/>
        <v>0</v>
      </c>
      <c r="H103" s="80">
        <f t="shared" si="35"/>
        <v>0</v>
      </c>
      <c r="I103" s="81">
        <f t="shared" si="36"/>
        <v>0</v>
      </c>
      <c r="J103" s="82"/>
      <c r="K103" s="83"/>
      <c r="L103" s="84">
        <f t="shared" si="24"/>
        <v>0</v>
      </c>
      <c r="M103" s="65"/>
      <c r="N103" s="65"/>
      <c r="O103" s="65"/>
      <c r="P103" s="65"/>
      <c r="Q103" s="65"/>
      <c r="R103" s="65"/>
      <c r="S103" s="65"/>
      <c r="T103" s="65"/>
      <c r="U103" s="65"/>
      <c r="V103" s="65"/>
      <c r="W103" s="65"/>
      <c r="X103" s="65"/>
      <c r="Y103" s="65"/>
      <c r="Z103" s="66"/>
      <c r="AA103" s="66"/>
      <c r="AB103" s="66"/>
    </row>
    <row r="104" outlineLevel="1">
      <c r="A104" s="85" t="s">
        <v>41</v>
      </c>
      <c r="C104" s="86">
        <f>SUM(C73:C103)</f>
        <v>2.2</v>
      </c>
      <c r="D104" s="87"/>
      <c r="E104" s="87"/>
      <c r="F104" s="87"/>
      <c r="G104" s="87"/>
      <c r="H104" s="87"/>
      <c r="I104" s="88">
        <f t="shared" ref="I104:K104" si="37">SUM(I73:I103)</f>
        <v>-50.47555955</v>
      </c>
      <c r="J104" s="89">
        <f t="shared" si="37"/>
        <v>-18.45</v>
      </c>
      <c r="K104" s="87">
        <f t="shared" si="37"/>
        <v>0</v>
      </c>
      <c r="L104" s="89">
        <f>L103</f>
        <v>0</v>
      </c>
      <c r="M104" s="65"/>
      <c r="N104" s="65"/>
      <c r="O104" s="65"/>
      <c r="P104" s="65"/>
      <c r="Q104" s="65"/>
      <c r="R104" s="65"/>
      <c r="S104" s="65"/>
      <c r="T104" s="65"/>
      <c r="U104" s="65"/>
      <c r="V104" s="65"/>
      <c r="W104" s="65"/>
      <c r="X104" s="65"/>
      <c r="Y104" s="65"/>
      <c r="Z104" s="66"/>
      <c r="AA104" s="66"/>
      <c r="AB104" s="66"/>
    </row>
    <row r="105">
      <c r="A105" s="95"/>
      <c r="B105" s="92"/>
      <c r="C105" s="92"/>
      <c r="D105" s="92"/>
      <c r="E105" s="92"/>
      <c r="F105" s="92"/>
      <c r="G105" s="92"/>
      <c r="H105" s="92"/>
      <c r="I105" s="92"/>
      <c r="J105" s="92"/>
      <c r="K105" s="96">
        <v>50.0</v>
      </c>
      <c r="L105" s="92"/>
      <c r="M105" s="65"/>
      <c r="N105" s="65"/>
      <c r="O105" s="65"/>
      <c r="P105" s="65"/>
      <c r="Q105" s="65"/>
      <c r="R105" s="65"/>
      <c r="S105" s="65"/>
      <c r="T105" s="65"/>
      <c r="U105" s="65"/>
      <c r="V105" s="65"/>
      <c r="W105" s="65"/>
      <c r="X105" s="65"/>
      <c r="Y105" s="65"/>
      <c r="Z105" s="66"/>
      <c r="AA105" s="66"/>
      <c r="AB105" s="66"/>
    </row>
    <row r="106" collapsed="1">
      <c r="A106" s="57" t="s">
        <v>45</v>
      </c>
      <c r="M106" s="65"/>
      <c r="N106" s="65"/>
      <c r="O106" s="65"/>
      <c r="P106" s="65"/>
      <c r="Q106" s="65"/>
      <c r="R106" s="65"/>
      <c r="S106" s="65"/>
      <c r="T106" s="65"/>
      <c r="U106" s="65"/>
      <c r="V106" s="65"/>
      <c r="W106" s="65"/>
      <c r="X106" s="65"/>
      <c r="Y106" s="65"/>
      <c r="Z106" s="66"/>
      <c r="AA106" s="66"/>
      <c r="AB106" s="66"/>
    </row>
    <row r="107" hidden="1" outlineLevel="1">
      <c r="A107" s="71" t="s">
        <v>29</v>
      </c>
      <c r="B107" s="57" t="s">
        <v>30</v>
      </c>
      <c r="C107" s="57" t="s">
        <v>31</v>
      </c>
      <c r="D107" s="72" t="s">
        <v>32</v>
      </c>
      <c r="E107" s="72" t="s">
        <v>33</v>
      </c>
      <c r="F107" s="72" t="s">
        <v>34</v>
      </c>
      <c r="G107" s="73" t="s">
        <v>35</v>
      </c>
      <c r="H107" s="72" t="s">
        <v>36</v>
      </c>
      <c r="I107" s="57" t="s">
        <v>37</v>
      </c>
      <c r="J107" s="74" t="s">
        <v>38</v>
      </c>
      <c r="K107" s="57" t="s">
        <v>39</v>
      </c>
      <c r="L107" s="57" t="s">
        <v>40</v>
      </c>
      <c r="M107" s="65"/>
      <c r="N107" s="65"/>
      <c r="O107" s="65"/>
      <c r="P107" s="65"/>
      <c r="Q107" s="65"/>
      <c r="R107" s="65"/>
      <c r="S107" s="65"/>
      <c r="T107" s="65"/>
      <c r="U107" s="65"/>
      <c r="V107" s="65"/>
      <c r="W107" s="65"/>
      <c r="X107" s="65"/>
      <c r="Y107" s="65"/>
      <c r="Z107" s="66"/>
      <c r="AA107" s="66"/>
      <c r="AB107" s="66"/>
    </row>
    <row r="108" hidden="1" outlineLevel="1">
      <c r="A108" s="71">
        <v>46113.0</v>
      </c>
      <c r="B108" s="74">
        <v>0.1</v>
      </c>
      <c r="C108" s="75">
        <v>0.1</v>
      </c>
      <c r="D108" s="76">
        <v>0.05</v>
      </c>
      <c r="E108" s="77">
        <v>3.0</v>
      </c>
      <c r="F108" s="78">
        <v>1000.0</v>
      </c>
      <c r="G108" s="79">
        <f>L104*C108</f>
        <v>0</v>
      </c>
      <c r="H108" s="80">
        <f>L104*D108</f>
        <v>0</v>
      </c>
      <c r="I108" s="81">
        <f>(J108/L104)*100</f>
        <v>0</v>
      </c>
      <c r="J108" s="82"/>
      <c r="K108" s="83"/>
      <c r="L108" s="84">
        <f>(L104+J108)-K108</f>
        <v>0</v>
      </c>
      <c r="M108" s="65"/>
      <c r="N108" s="65"/>
      <c r="O108" s="65"/>
      <c r="P108" s="65"/>
      <c r="Q108" s="65"/>
      <c r="R108" s="65"/>
      <c r="S108" s="65"/>
      <c r="T108" s="65"/>
      <c r="U108" s="65"/>
      <c r="V108" s="65"/>
      <c r="W108" s="65"/>
      <c r="X108" s="65"/>
      <c r="Y108" s="65"/>
      <c r="Z108" s="66"/>
      <c r="AA108" s="66"/>
      <c r="AB108" s="66"/>
    </row>
    <row r="109" hidden="1" outlineLevel="1">
      <c r="A109" s="71">
        <v>46114.0</v>
      </c>
      <c r="B109" s="74">
        <v>0.1</v>
      </c>
      <c r="C109" s="75">
        <v>0.1</v>
      </c>
      <c r="D109" s="76">
        <v>0.05</v>
      </c>
      <c r="E109" s="77">
        <v>3.0</v>
      </c>
      <c r="F109" s="78">
        <v>1000.0</v>
      </c>
      <c r="G109" s="79">
        <f t="shared" ref="G109:G110" si="38">L108*C109</f>
        <v>0</v>
      </c>
      <c r="H109" s="80">
        <f t="shared" ref="H109:H110" si="39">L108*D109</f>
        <v>0</v>
      </c>
      <c r="I109" s="81">
        <f t="shared" ref="I109:I110" si="40">(J109/L108)*100</f>
        <v>0</v>
      </c>
      <c r="J109" s="82"/>
      <c r="K109" s="83"/>
      <c r="L109" s="84">
        <f t="shared" ref="L109:L137" si="41">(L108+J109)-K109</f>
        <v>0</v>
      </c>
      <c r="M109" s="65"/>
      <c r="N109" s="65"/>
      <c r="O109" s="65"/>
      <c r="P109" s="65"/>
      <c r="Q109" s="65"/>
      <c r="R109" s="65"/>
      <c r="S109" s="65"/>
      <c r="T109" s="65"/>
      <c r="U109" s="65"/>
      <c r="V109" s="65"/>
      <c r="W109" s="65"/>
      <c r="X109" s="65"/>
      <c r="Y109" s="65"/>
      <c r="Z109" s="66"/>
      <c r="AA109" s="66"/>
      <c r="AB109" s="66"/>
    </row>
    <row r="110" hidden="1" outlineLevel="1">
      <c r="A110" s="71">
        <v>46115.0</v>
      </c>
      <c r="B110" s="74">
        <v>0.1</v>
      </c>
      <c r="C110" s="75">
        <v>0.1</v>
      </c>
      <c r="D110" s="76">
        <v>0.05</v>
      </c>
      <c r="E110" s="77">
        <v>3.0</v>
      </c>
      <c r="F110" s="78">
        <v>1000.0</v>
      </c>
      <c r="G110" s="79">
        <f t="shared" si="38"/>
        <v>0</v>
      </c>
      <c r="H110" s="80">
        <f t="shared" si="39"/>
        <v>0</v>
      </c>
      <c r="I110" s="81">
        <f t="shared" si="40"/>
        <v>0</v>
      </c>
      <c r="J110" s="82"/>
      <c r="K110" s="83"/>
      <c r="L110" s="84">
        <f t="shared" si="41"/>
        <v>0</v>
      </c>
      <c r="M110" s="65"/>
      <c r="N110" s="65"/>
      <c r="O110" s="65"/>
      <c r="P110" s="65"/>
      <c r="Q110" s="65"/>
      <c r="R110" s="65"/>
      <c r="S110" s="65"/>
      <c r="T110" s="65"/>
      <c r="U110" s="65"/>
      <c r="V110" s="65"/>
      <c r="W110" s="65"/>
      <c r="X110" s="65"/>
      <c r="Y110" s="65"/>
      <c r="Z110" s="66"/>
      <c r="AA110" s="66"/>
      <c r="AB110" s="66"/>
    </row>
    <row r="111" hidden="1" outlineLevel="1">
      <c r="A111" s="71"/>
      <c r="B111" s="74"/>
      <c r="C111" s="75"/>
      <c r="D111" s="76"/>
      <c r="E111" s="77"/>
      <c r="F111" s="78"/>
      <c r="G111" s="79"/>
      <c r="H111" s="80"/>
      <c r="I111" s="81"/>
      <c r="J111" s="82"/>
      <c r="K111" s="83"/>
      <c r="L111" s="84">
        <f t="shared" si="41"/>
        <v>0</v>
      </c>
      <c r="M111" s="65"/>
      <c r="N111" s="65"/>
      <c r="O111" s="65"/>
      <c r="P111" s="65"/>
      <c r="Q111" s="65"/>
      <c r="R111" s="65"/>
      <c r="S111" s="65"/>
      <c r="T111" s="65"/>
      <c r="U111" s="65"/>
      <c r="V111" s="65"/>
      <c r="W111" s="65"/>
      <c r="X111" s="65"/>
      <c r="Y111" s="65"/>
      <c r="Z111" s="66"/>
      <c r="AA111" s="66"/>
      <c r="AB111" s="66"/>
    </row>
    <row r="112" hidden="1" outlineLevel="1">
      <c r="A112" s="71"/>
      <c r="B112" s="74"/>
      <c r="C112" s="75"/>
      <c r="D112" s="76"/>
      <c r="E112" s="77"/>
      <c r="F112" s="78"/>
      <c r="G112" s="79"/>
      <c r="H112" s="80"/>
      <c r="I112" s="81"/>
      <c r="J112" s="82"/>
      <c r="K112" s="83"/>
      <c r="L112" s="84">
        <f t="shared" si="41"/>
        <v>0</v>
      </c>
      <c r="M112" s="65"/>
      <c r="N112" s="65"/>
      <c r="O112" s="65"/>
      <c r="P112" s="65"/>
      <c r="Q112" s="65"/>
      <c r="R112" s="65"/>
      <c r="S112" s="65"/>
      <c r="T112" s="65"/>
      <c r="U112" s="65"/>
      <c r="V112" s="65"/>
      <c r="W112" s="65"/>
      <c r="X112" s="65"/>
      <c r="Y112" s="65"/>
      <c r="Z112" s="66"/>
      <c r="AA112" s="66"/>
      <c r="AB112" s="66"/>
    </row>
    <row r="113" hidden="1" outlineLevel="1">
      <c r="A113" s="71">
        <v>46118.0</v>
      </c>
      <c r="B113" s="74">
        <v>0.1</v>
      </c>
      <c r="C113" s="75">
        <v>0.1</v>
      </c>
      <c r="D113" s="76">
        <v>0.05</v>
      </c>
      <c r="E113" s="77">
        <v>3.0</v>
      </c>
      <c r="F113" s="78">
        <v>1000.0</v>
      </c>
      <c r="G113" s="79">
        <f t="shared" ref="G113:G117" si="42">L112*C113</f>
        <v>0</v>
      </c>
      <c r="H113" s="80">
        <f t="shared" ref="H113:H117" si="43">L112*D113</f>
        <v>0</v>
      </c>
      <c r="I113" s="81">
        <f t="shared" ref="I113:I117" si="44">(J113/L112)*100</f>
        <v>0</v>
      </c>
      <c r="J113" s="82"/>
      <c r="K113" s="83"/>
      <c r="L113" s="84">
        <f t="shared" si="41"/>
        <v>0</v>
      </c>
      <c r="M113" s="65"/>
      <c r="N113" s="65"/>
      <c r="O113" s="65"/>
      <c r="P113" s="65"/>
      <c r="Q113" s="65"/>
      <c r="R113" s="65"/>
      <c r="S113" s="65"/>
      <c r="T113" s="65"/>
      <c r="U113" s="65"/>
      <c r="V113" s="65"/>
      <c r="W113" s="65"/>
      <c r="X113" s="65"/>
      <c r="Y113" s="65"/>
      <c r="Z113" s="66"/>
      <c r="AA113" s="66"/>
      <c r="AB113" s="66"/>
    </row>
    <row r="114" hidden="1" outlineLevel="1">
      <c r="A114" s="71">
        <v>46119.0</v>
      </c>
      <c r="B114" s="74">
        <v>0.1</v>
      </c>
      <c r="C114" s="75">
        <v>0.1</v>
      </c>
      <c r="D114" s="76">
        <v>0.05</v>
      </c>
      <c r="E114" s="77">
        <v>3.0</v>
      </c>
      <c r="F114" s="78">
        <v>1000.0</v>
      </c>
      <c r="G114" s="79">
        <f t="shared" si="42"/>
        <v>0</v>
      </c>
      <c r="H114" s="80">
        <f t="shared" si="43"/>
        <v>0</v>
      </c>
      <c r="I114" s="81">
        <f t="shared" si="44"/>
        <v>0</v>
      </c>
      <c r="J114" s="82"/>
      <c r="K114" s="83"/>
      <c r="L114" s="84">
        <f t="shared" si="41"/>
        <v>0</v>
      </c>
      <c r="M114" s="65"/>
      <c r="N114" s="65"/>
      <c r="O114" s="65"/>
      <c r="P114" s="65"/>
      <c r="Q114" s="65"/>
      <c r="R114" s="65"/>
      <c r="S114" s="65"/>
      <c r="T114" s="65"/>
      <c r="U114" s="65"/>
      <c r="V114" s="65"/>
      <c r="W114" s="65"/>
      <c r="X114" s="65"/>
      <c r="Y114" s="65"/>
      <c r="Z114" s="66"/>
      <c r="AA114" s="66"/>
      <c r="AB114" s="66"/>
    </row>
    <row r="115" hidden="1" outlineLevel="1">
      <c r="A115" s="71">
        <v>46120.0</v>
      </c>
      <c r="B115" s="74">
        <v>0.1</v>
      </c>
      <c r="C115" s="75">
        <v>0.1</v>
      </c>
      <c r="D115" s="76">
        <v>0.05</v>
      </c>
      <c r="E115" s="77">
        <v>3.0</v>
      </c>
      <c r="F115" s="78">
        <v>1000.0</v>
      </c>
      <c r="G115" s="79">
        <f t="shared" si="42"/>
        <v>0</v>
      </c>
      <c r="H115" s="80">
        <f t="shared" si="43"/>
        <v>0</v>
      </c>
      <c r="I115" s="81">
        <f t="shared" si="44"/>
        <v>0</v>
      </c>
      <c r="J115" s="82"/>
      <c r="K115" s="83"/>
      <c r="L115" s="84">
        <f t="shared" si="41"/>
        <v>0</v>
      </c>
      <c r="M115" s="65"/>
      <c r="N115" s="65"/>
      <c r="O115" s="65"/>
      <c r="P115" s="65"/>
      <c r="Q115" s="65"/>
      <c r="R115" s="65"/>
      <c r="S115" s="65"/>
      <c r="T115" s="65"/>
      <c r="U115" s="65"/>
      <c r="V115" s="65"/>
      <c r="W115" s="65"/>
      <c r="X115" s="65"/>
      <c r="Y115" s="65"/>
      <c r="Z115" s="66"/>
      <c r="AA115" s="66"/>
      <c r="AB115" s="66"/>
    </row>
    <row r="116" hidden="1" outlineLevel="1">
      <c r="A116" s="71">
        <v>46121.0</v>
      </c>
      <c r="B116" s="74">
        <v>0.1</v>
      </c>
      <c r="C116" s="75">
        <v>0.1</v>
      </c>
      <c r="D116" s="76">
        <v>0.05</v>
      </c>
      <c r="E116" s="77">
        <v>3.0</v>
      </c>
      <c r="F116" s="78">
        <v>1000.0</v>
      </c>
      <c r="G116" s="79">
        <f t="shared" si="42"/>
        <v>0</v>
      </c>
      <c r="H116" s="80">
        <f t="shared" si="43"/>
        <v>0</v>
      </c>
      <c r="I116" s="81">
        <f t="shared" si="44"/>
        <v>0</v>
      </c>
      <c r="J116" s="82"/>
      <c r="K116" s="83"/>
      <c r="L116" s="84">
        <f t="shared" si="41"/>
        <v>0</v>
      </c>
      <c r="M116" s="65"/>
      <c r="N116" s="65"/>
      <c r="O116" s="65"/>
      <c r="P116" s="65"/>
      <c r="Q116" s="65"/>
      <c r="R116" s="65"/>
      <c r="S116" s="65"/>
      <c r="T116" s="65"/>
      <c r="U116" s="65"/>
      <c r="V116" s="65"/>
      <c r="W116" s="65"/>
      <c r="X116" s="65"/>
      <c r="Y116" s="65"/>
      <c r="Z116" s="66"/>
      <c r="AA116" s="66"/>
      <c r="AB116" s="66"/>
    </row>
    <row r="117" hidden="1" outlineLevel="1">
      <c r="A117" s="71">
        <v>46122.0</v>
      </c>
      <c r="B117" s="74">
        <v>0.1</v>
      </c>
      <c r="C117" s="75">
        <v>0.1</v>
      </c>
      <c r="D117" s="76">
        <v>0.05</v>
      </c>
      <c r="E117" s="77">
        <v>3.0</v>
      </c>
      <c r="F117" s="78">
        <v>1000.0</v>
      </c>
      <c r="G117" s="79">
        <f t="shared" si="42"/>
        <v>0</v>
      </c>
      <c r="H117" s="80">
        <f t="shared" si="43"/>
        <v>0</v>
      </c>
      <c r="I117" s="81">
        <f t="shared" si="44"/>
        <v>0</v>
      </c>
      <c r="J117" s="82"/>
      <c r="K117" s="83"/>
      <c r="L117" s="84">
        <f t="shared" si="41"/>
        <v>0</v>
      </c>
      <c r="M117" s="65"/>
      <c r="N117" s="65"/>
      <c r="O117" s="65"/>
      <c r="P117" s="65"/>
      <c r="Q117" s="65"/>
      <c r="R117" s="65"/>
      <c r="S117" s="65"/>
      <c r="T117" s="65"/>
      <c r="U117" s="65"/>
      <c r="V117" s="65"/>
      <c r="W117" s="65"/>
      <c r="X117" s="65"/>
      <c r="Y117" s="65"/>
      <c r="Z117" s="66"/>
      <c r="AA117" s="66"/>
      <c r="AB117" s="66"/>
    </row>
    <row r="118" hidden="1" outlineLevel="1">
      <c r="A118" s="71"/>
      <c r="B118" s="74"/>
      <c r="C118" s="75"/>
      <c r="D118" s="76"/>
      <c r="E118" s="77"/>
      <c r="F118" s="78"/>
      <c r="G118" s="79"/>
      <c r="H118" s="80"/>
      <c r="I118" s="81"/>
      <c r="J118" s="82"/>
      <c r="K118" s="83"/>
      <c r="L118" s="84">
        <f t="shared" si="41"/>
        <v>0</v>
      </c>
      <c r="M118" s="65"/>
      <c r="N118" s="65"/>
      <c r="O118" s="65"/>
      <c r="P118" s="65"/>
      <c r="Q118" s="65"/>
      <c r="R118" s="65"/>
      <c r="S118" s="65"/>
      <c r="T118" s="65"/>
      <c r="U118" s="65"/>
      <c r="V118" s="65"/>
      <c r="W118" s="65"/>
      <c r="X118" s="65"/>
      <c r="Y118" s="65"/>
      <c r="Z118" s="66"/>
      <c r="AA118" s="66"/>
      <c r="AB118" s="66"/>
    </row>
    <row r="119" hidden="1" outlineLevel="1">
      <c r="A119" s="71"/>
      <c r="B119" s="74"/>
      <c r="C119" s="75"/>
      <c r="D119" s="76"/>
      <c r="E119" s="77"/>
      <c r="F119" s="78"/>
      <c r="G119" s="79"/>
      <c r="H119" s="80"/>
      <c r="I119" s="81"/>
      <c r="J119" s="82"/>
      <c r="K119" s="83"/>
      <c r="L119" s="84">
        <f t="shared" si="41"/>
        <v>0</v>
      </c>
      <c r="M119" s="65"/>
      <c r="N119" s="65"/>
      <c r="O119" s="65"/>
      <c r="P119" s="65"/>
      <c r="Q119" s="65"/>
      <c r="R119" s="65"/>
      <c r="S119" s="65"/>
      <c r="T119" s="65"/>
      <c r="U119" s="65"/>
      <c r="V119" s="65"/>
      <c r="W119" s="65"/>
      <c r="X119" s="65"/>
      <c r="Y119" s="65"/>
      <c r="Z119" s="66"/>
      <c r="AA119" s="66"/>
      <c r="AB119" s="66"/>
    </row>
    <row r="120" hidden="1" outlineLevel="1">
      <c r="A120" s="71">
        <v>46125.0</v>
      </c>
      <c r="B120" s="74">
        <v>0.1</v>
      </c>
      <c r="C120" s="75">
        <v>0.1</v>
      </c>
      <c r="D120" s="76">
        <v>0.05</v>
      </c>
      <c r="E120" s="77">
        <v>3.0</v>
      </c>
      <c r="F120" s="78">
        <v>1000.0</v>
      </c>
      <c r="G120" s="79">
        <f t="shared" ref="G120:G124" si="45">L119*C120</f>
        <v>0</v>
      </c>
      <c r="H120" s="80">
        <f t="shared" ref="H120:H124" si="46">L119*D120</f>
        <v>0</v>
      </c>
      <c r="I120" s="81">
        <f t="shared" ref="I120:I124" si="47">(J120/L119)*100</f>
        <v>0</v>
      </c>
      <c r="J120" s="82"/>
      <c r="K120" s="83"/>
      <c r="L120" s="84">
        <f t="shared" si="41"/>
        <v>0</v>
      </c>
      <c r="M120" s="65"/>
      <c r="N120" s="65"/>
      <c r="O120" s="65"/>
      <c r="P120" s="65"/>
      <c r="Q120" s="65"/>
      <c r="R120" s="65"/>
      <c r="S120" s="65"/>
      <c r="T120" s="65"/>
      <c r="U120" s="65"/>
      <c r="V120" s="65"/>
      <c r="W120" s="65"/>
      <c r="X120" s="65"/>
      <c r="Y120" s="65"/>
      <c r="Z120" s="66"/>
      <c r="AA120" s="66"/>
      <c r="AB120" s="66"/>
    </row>
    <row r="121" hidden="1" outlineLevel="1">
      <c r="A121" s="71">
        <v>46126.0</v>
      </c>
      <c r="B121" s="74">
        <v>0.1</v>
      </c>
      <c r="C121" s="75">
        <v>0.1</v>
      </c>
      <c r="D121" s="76">
        <v>0.05</v>
      </c>
      <c r="E121" s="77">
        <v>3.0</v>
      </c>
      <c r="F121" s="78">
        <v>1000.0</v>
      </c>
      <c r="G121" s="79">
        <f t="shared" si="45"/>
        <v>0</v>
      </c>
      <c r="H121" s="80">
        <f t="shared" si="46"/>
        <v>0</v>
      </c>
      <c r="I121" s="81">
        <f t="shared" si="47"/>
        <v>0</v>
      </c>
      <c r="J121" s="82"/>
      <c r="K121" s="83"/>
      <c r="L121" s="84">
        <f t="shared" si="41"/>
        <v>0</v>
      </c>
      <c r="M121" s="65"/>
      <c r="N121" s="65"/>
      <c r="O121" s="65"/>
      <c r="P121" s="65"/>
      <c r="Q121" s="65"/>
      <c r="R121" s="65"/>
      <c r="S121" s="65"/>
      <c r="T121" s="65"/>
      <c r="U121" s="65"/>
      <c r="V121" s="65"/>
      <c r="W121" s="65"/>
      <c r="X121" s="65"/>
      <c r="Y121" s="65"/>
      <c r="Z121" s="66"/>
      <c r="AA121" s="66"/>
      <c r="AB121" s="66"/>
    </row>
    <row r="122" hidden="1" outlineLevel="1">
      <c r="A122" s="71">
        <v>46127.0</v>
      </c>
      <c r="B122" s="74">
        <v>0.1</v>
      </c>
      <c r="C122" s="75">
        <v>0.1</v>
      </c>
      <c r="D122" s="76">
        <v>0.05</v>
      </c>
      <c r="E122" s="77">
        <v>3.0</v>
      </c>
      <c r="F122" s="78">
        <v>1000.0</v>
      </c>
      <c r="G122" s="79">
        <f t="shared" si="45"/>
        <v>0</v>
      </c>
      <c r="H122" s="80">
        <f t="shared" si="46"/>
        <v>0</v>
      </c>
      <c r="I122" s="81">
        <f t="shared" si="47"/>
        <v>0</v>
      </c>
      <c r="J122" s="82"/>
      <c r="K122" s="83"/>
      <c r="L122" s="84">
        <f t="shared" si="41"/>
        <v>0</v>
      </c>
      <c r="M122" s="65"/>
      <c r="N122" s="65"/>
      <c r="O122" s="65"/>
      <c r="P122" s="65"/>
      <c r="Q122" s="65"/>
      <c r="R122" s="65"/>
      <c r="S122" s="65"/>
      <c r="T122" s="65"/>
      <c r="U122" s="65"/>
      <c r="V122" s="65"/>
      <c r="W122" s="65"/>
      <c r="X122" s="65"/>
      <c r="Y122" s="65"/>
      <c r="Z122" s="66"/>
      <c r="AA122" s="66"/>
      <c r="AB122" s="66"/>
    </row>
    <row r="123" hidden="1" outlineLevel="1">
      <c r="A123" s="71">
        <v>46128.0</v>
      </c>
      <c r="B123" s="74">
        <v>0.1</v>
      </c>
      <c r="C123" s="75">
        <v>0.1</v>
      </c>
      <c r="D123" s="76">
        <v>0.05</v>
      </c>
      <c r="E123" s="77">
        <v>3.0</v>
      </c>
      <c r="F123" s="78">
        <v>1000.0</v>
      </c>
      <c r="G123" s="79">
        <f t="shared" si="45"/>
        <v>0</v>
      </c>
      <c r="H123" s="80">
        <f t="shared" si="46"/>
        <v>0</v>
      </c>
      <c r="I123" s="81">
        <f t="shared" si="47"/>
        <v>0</v>
      </c>
      <c r="J123" s="82"/>
      <c r="K123" s="83"/>
      <c r="L123" s="84">
        <f t="shared" si="41"/>
        <v>0</v>
      </c>
      <c r="M123" s="65"/>
      <c r="N123" s="65"/>
      <c r="O123" s="65"/>
      <c r="P123" s="65"/>
      <c r="Q123" s="65"/>
      <c r="R123" s="65"/>
      <c r="S123" s="65"/>
      <c r="T123" s="65"/>
      <c r="U123" s="65"/>
      <c r="V123" s="65"/>
      <c r="W123" s="65"/>
      <c r="X123" s="65"/>
      <c r="Y123" s="65"/>
      <c r="Z123" s="66"/>
      <c r="AA123" s="66"/>
      <c r="AB123" s="66"/>
    </row>
    <row r="124" hidden="1" outlineLevel="1">
      <c r="A124" s="71">
        <v>46129.0</v>
      </c>
      <c r="B124" s="74">
        <v>0.1</v>
      </c>
      <c r="C124" s="75">
        <v>0.1</v>
      </c>
      <c r="D124" s="76">
        <v>0.05</v>
      </c>
      <c r="E124" s="77">
        <v>3.0</v>
      </c>
      <c r="F124" s="78">
        <v>1000.0</v>
      </c>
      <c r="G124" s="79">
        <f t="shared" si="45"/>
        <v>0</v>
      </c>
      <c r="H124" s="80">
        <f t="shared" si="46"/>
        <v>0</v>
      </c>
      <c r="I124" s="81">
        <f t="shared" si="47"/>
        <v>0</v>
      </c>
      <c r="J124" s="82"/>
      <c r="K124" s="83"/>
      <c r="L124" s="84">
        <f t="shared" si="41"/>
        <v>0</v>
      </c>
      <c r="M124" s="65"/>
      <c r="N124" s="65"/>
      <c r="O124" s="65"/>
      <c r="P124" s="65"/>
      <c r="Q124" s="65"/>
      <c r="R124" s="65"/>
      <c r="S124" s="65"/>
      <c r="T124" s="65"/>
      <c r="U124" s="65"/>
      <c r="V124" s="65"/>
      <c r="W124" s="65"/>
      <c r="X124" s="65"/>
      <c r="Y124" s="65"/>
      <c r="Z124" s="66"/>
      <c r="AA124" s="66"/>
      <c r="AB124" s="66"/>
    </row>
    <row r="125" hidden="1" outlineLevel="1">
      <c r="A125" s="71"/>
      <c r="B125" s="74"/>
      <c r="C125" s="75"/>
      <c r="D125" s="76"/>
      <c r="E125" s="77"/>
      <c r="F125" s="78"/>
      <c r="G125" s="79"/>
      <c r="H125" s="80"/>
      <c r="I125" s="81"/>
      <c r="J125" s="82"/>
      <c r="K125" s="83"/>
      <c r="L125" s="84">
        <f t="shared" si="41"/>
        <v>0</v>
      </c>
      <c r="M125" s="65"/>
      <c r="N125" s="65"/>
      <c r="O125" s="65"/>
      <c r="P125" s="65"/>
      <c r="Q125" s="65"/>
      <c r="R125" s="65"/>
      <c r="S125" s="65"/>
      <c r="T125" s="65"/>
      <c r="U125" s="65"/>
      <c r="V125" s="65"/>
      <c r="W125" s="65"/>
      <c r="X125" s="65"/>
      <c r="Y125" s="65"/>
      <c r="Z125" s="66"/>
      <c r="AA125" s="66"/>
      <c r="AB125" s="66"/>
    </row>
    <row r="126" hidden="1" outlineLevel="1">
      <c r="A126" s="71"/>
      <c r="B126" s="74"/>
      <c r="C126" s="75"/>
      <c r="D126" s="76"/>
      <c r="E126" s="77"/>
      <c r="F126" s="78"/>
      <c r="G126" s="79"/>
      <c r="H126" s="80"/>
      <c r="I126" s="81"/>
      <c r="J126" s="82"/>
      <c r="K126" s="83"/>
      <c r="L126" s="84">
        <f t="shared" si="41"/>
        <v>0</v>
      </c>
      <c r="M126" s="65"/>
      <c r="N126" s="65"/>
      <c r="O126" s="65"/>
      <c r="P126" s="65"/>
      <c r="Q126" s="65"/>
      <c r="R126" s="65"/>
      <c r="S126" s="65"/>
      <c r="T126" s="65"/>
      <c r="U126" s="65"/>
      <c r="V126" s="65"/>
      <c r="W126" s="65"/>
      <c r="X126" s="65"/>
      <c r="Y126" s="65"/>
      <c r="Z126" s="66"/>
      <c r="AA126" s="66"/>
      <c r="AB126" s="66"/>
    </row>
    <row r="127" hidden="1" outlineLevel="1">
      <c r="A127" s="71">
        <v>46132.0</v>
      </c>
      <c r="B127" s="74">
        <v>0.1</v>
      </c>
      <c r="C127" s="75">
        <v>0.1</v>
      </c>
      <c r="D127" s="76">
        <v>0.05</v>
      </c>
      <c r="E127" s="77">
        <v>3.0</v>
      </c>
      <c r="F127" s="78">
        <v>1000.0</v>
      </c>
      <c r="G127" s="79">
        <f t="shared" ref="G127:G131" si="48">L126*C127</f>
        <v>0</v>
      </c>
      <c r="H127" s="80">
        <f t="shared" ref="H127:H131" si="49">L126*D127</f>
        <v>0</v>
      </c>
      <c r="I127" s="81">
        <f t="shared" ref="I127:I131" si="50">(J127/L126)*100</f>
        <v>0</v>
      </c>
      <c r="J127" s="82"/>
      <c r="K127" s="83"/>
      <c r="L127" s="84">
        <f t="shared" si="41"/>
        <v>0</v>
      </c>
      <c r="M127" s="65"/>
      <c r="N127" s="65"/>
      <c r="O127" s="65"/>
      <c r="P127" s="65"/>
      <c r="Q127" s="65"/>
      <c r="R127" s="65"/>
      <c r="S127" s="65"/>
      <c r="T127" s="65"/>
      <c r="U127" s="65"/>
      <c r="V127" s="65"/>
      <c r="W127" s="65"/>
      <c r="X127" s="65"/>
      <c r="Y127" s="65"/>
      <c r="Z127" s="66"/>
      <c r="AA127" s="66"/>
      <c r="AB127" s="66"/>
    </row>
    <row r="128" hidden="1" outlineLevel="1">
      <c r="A128" s="71">
        <v>46133.0</v>
      </c>
      <c r="B128" s="74">
        <v>0.1</v>
      </c>
      <c r="C128" s="75">
        <v>0.1</v>
      </c>
      <c r="D128" s="76">
        <v>0.05</v>
      </c>
      <c r="E128" s="77">
        <v>3.0</v>
      </c>
      <c r="F128" s="78">
        <v>1000.0</v>
      </c>
      <c r="G128" s="79">
        <f t="shared" si="48"/>
        <v>0</v>
      </c>
      <c r="H128" s="80">
        <f t="shared" si="49"/>
        <v>0</v>
      </c>
      <c r="I128" s="81">
        <f t="shared" si="50"/>
        <v>0</v>
      </c>
      <c r="J128" s="82"/>
      <c r="K128" s="83"/>
      <c r="L128" s="84">
        <f t="shared" si="41"/>
        <v>0</v>
      </c>
      <c r="M128" s="65"/>
      <c r="N128" s="65"/>
      <c r="O128" s="65"/>
      <c r="P128" s="65"/>
      <c r="Q128" s="65"/>
      <c r="R128" s="65"/>
      <c r="S128" s="65"/>
      <c r="T128" s="65"/>
      <c r="U128" s="65"/>
      <c r="V128" s="65"/>
      <c r="W128" s="65"/>
      <c r="X128" s="65"/>
      <c r="Y128" s="65"/>
      <c r="Z128" s="66"/>
      <c r="AA128" s="66"/>
      <c r="AB128" s="66"/>
    </row>
    <row r="129" hidden="1" outlineLevel="1">
      <c r="A129" s="71">
        <v>46134.0</v>
      </c>
      <c r="B129" s="74">
        <v>0.1</v>
      </c>
      <c r="C129" s="75">
        <v>0.1</v>
      </c>
      <c r="D129" s="76">
        <v>0.05</v>
      </c>
      <c r="E129" s="77">
        <v>3.0</v>
      </c>
      <c r="F129" s="78">
        <v>1000.0</v>
      </c>
      <c r="G129" s="79">
        <f t="shared" si="48"/>
        <v>0</v>
      </c>
      <c r="H129" s="80">
        <f t="shared" si="49"/>
        <v>0</v>
      </c>
      <c r="I129" s="81">
        <f t="shared" si="50"/>
        <v>0</v>
      </c>
      <c r="J129" s="82"/>
      <c r="K129" s="83"/>
      <c r="L129" s="84">
        <f t="shared" si="41"/>
        <v>0</v>
      </c>
      <c r="M129" s="65"/>
      <c r="N129" s="65"/>
      <c r="O129" s="65"/>
      <c r="P129" s="65"/>
      <c r="Q129" s="65"/>
      <c r="R129" s="65"/>
      <c r="S129" s="65"/>
      <c r="T129" s="65"/>
      <c r="U129" s="65"/>
      <c r="V129" s="65"/>
      <c r="W129" s="65"/>
      <c r="X129" s="65"/>
      <c r="Y129" s="65"/>
      <c r="Z129" s="66"/>
      <c r="AA129" s="66"/>
      <c r="AB129" s="66"/>
    </row>
    <row r="130" hidden="1" outlineLevel="1">
      <c r="A130" s="71">
        <v>46135.0</v>
      </c>
      <c r="B130" s="74">
        <v>0.1</v>
      </c>
      <c r="C130" s="75">
        <v>0.1</v>
      </c>
      <c r="D130" s="76">
        <v>0.05</v>
      </c>
      <c r="E130" s="77">
        <v>3.0</v>
      </c>
      <c r="F130" s="78">
        <v>1000.0</v>
      </c>
      <c r="G130" s="79">
        <f t="shared" si="48"/>
        <v>0</v>
      </c>
      <c r="H130" s="80">
        <f t="shared" si="49"/>
        <v>0</v>
      </c>
      <c r="I130" s="81">
        <f t="shared" si="50"/>
        <v>0</v>
      </c>
      <c r="J130" s="82"/>
      <c r="K130" s="83"/>
      <c r="L130" s="84">
        <f t="shared" si="41"/>
        <v>0</v>
      </c>
      <c r="M130" s="65"/>
      <c r="N130" s="65"/>
      <c r="O130" s="65"/>
      <c r="P130" s="65"/>
      <c r="Q130" s="65"/>
      <c r="R130" s="65"/>
      <c r="S130" s="65"/>
      <c r="T130" s="65"/>
      <c r="U130" s="65"/>
      <c r="V130" s="65"/>
      <c r="W130" s="65"/>
      <c r="X130" s="65"/>
      <c r="Y130" s="65"/>
      <c r="Z130" s="66"/>
      <c r="AA130" s="66"/>
      <c r="AB130" s="66"/>
    </row>
    <row r="131" hidden="1" outlineLevel="1">
      <c r="A131" s="71">
        <v>46136.0</v>
      </c>
      <c r="B131" s="74">
        <v>0.1</v>
      </c>
      <c r="C131" s="75">
        <v>0.1</v>
      </c>
      <c r="D131" s="76">
        <v>0.05</v>
      </c>
      <c r="E131" s="77">
        <v>3.0</v>
      </c>
      <c r="F131" s="78">
        <v>1000.0</v>
      </c>
      <c r="G131" s="79">
        <f t="shared" si="48"/>
        <v>0</v>
      </c>
      <c r="H131" s="80">
        <f t="shared" si="49"/>
        <v>0</v>
      </c>
      <c r="I131" s="81">
        <f t="shared" si="50"/>
        <v>0</v>
      </c>
      <c r="J131" s="82"/>
      <c r="K131" s="83"/>
      <c r="L131" s="84">
        <f t="shared" si="41"/>
        <v>0</v>
      </c>
      <c r="M131" s="65"/>
      <c r="N131" s="65"/>
      <c r="O131" s="65"/>
      <c r="P131" s="65"/>
      <c r="Q131" s="65"/>
      <c r="R131" s="65"/>
      <c r="S131" s="65"/>
      <c r="T131" s="65"/>
      <c r="U131" s="65"/>
      <c r="V131" s="65"/>
      <c r="W131" s="65"/>
      <c r="X131" s="65"/>
      <c r="Y131" s="65"/>
      <c r="Z131" s="66"/>
      <c r="AA131" s="66"/>
      <c r="AB131" s="66"/>
    </row>
    <row r="132" hidden="1" outlineLevel="1">
      <c r="A132" s="71"/>
      <c r="B132" s="74"/>
      <c r="C132" s="75"/>
      <c r="D132" s="76"/>
      <c r="E132" s="77"/>
      <c r="F132" s="78"/>
      <c r="G132" s="79"/>
      <c r="H132" s="80"/>
      <c r="I132" s="81"/>
      <c r="J132" s="82"/>
      <c r="K132" s="83"/>
      <c r="L132" s="84">
        <f t="shared" si="41"/>
        <v>0</v>
      </c>
      <c r="M132" s="65"/>
      <c r="N132" s="65"/>
      <c r="O132" s="65"/>
      <c r="P132" s="65"/>
      <c r="Q132" s="65"/>
      <c r="R132" s="65"/>
      <c r="S132" s="65"/>
      <c r="T132" s="65"/>
      <c r="U132" s="65"/>
      <c r="V132" s="65"/>
      <c r="W132" s="65"/>
      <c r="X132" s="65"/>
      <c r="Y132" s="65"/>
      <c r="Z132" s="66"/>
      <c r="AA132" s="66"/>
      <c r="AB132" s="66"/>
    </row>
    <row r="133" hidden="1" outlineLevel="1">
      <c r="A133" s="71"/>
      <c r="B133" s="74"/>
      <c r="C133" s="75"/>
      <c r="D133" s="76"/>
      <c r="E133" s="77"/>
      <c r="F133" s="78"/>
      <c r="G133" s="79"/>
      <c r="H133" s="80"/>
      <c r="I133" s="81"/>
      <c r="J133" s="82"/>
      <c r="K133" s="83"/>
      <c r="L133" s="84">
        <f t="shared" si="41"/>
        <v>0</v>
      </c>
      <c r="M133" s="65"/>
      <c r="N133" s="65"/>
      <c r="O133" s="65"/>
      <c r="P133" s="65"/>
      <c r="Q133" s="65"/>
      <c r="R133" s="65"/>
      <c r="S133" s="65"/>
      <c r="T133" s="65"/>
      <c r="U133" s="65"/>
      <c r="V133" s="65"/>
      <c r="W133" s="65"/>
      <c r="X133" s="65"/>
      <c r="Y133" s="65"/>
      <c r="Z133" s="66"/>
      <c r="AA133" s="66"/>
      <c r="AB133" s="66"/>
    </row>
    <row r="134" hidden="1" outlineLevel="1">
      <c r="A134" s="71">
        <v>46139.0</v>
      </c>
      <c r="B134" s="74">
        <v>0.1</v>
      </c>
      <c r="C134" s="75">
        <v>0.1</v>
      </c>
      <c r="D134" s="76">
        <v>0.05</v>
      </c>
      <c r="E134" s="77">
        <v>3.0</v>
      </c>
      <c r="F134" s="78">
        <v>1000.0</v>
      </c>
      <c r="G134" s="79">
        <f t="shared" ref="G134:G137" si="51">L133*C134</f>
        <v>0</v>
      </c>
      <c r="H134" s="80">
        <f t="shared" ref="H134:H137" si="52">L133*D134</f>
        <v>0</v>
      </c>
      <c r="I134" s="81">
        <f t="shared" ref="I134:I137" si="53">(J134/L133)*100</f>
        <v>0</v>
      </c>
      <c r="J134" s="82"/>
      <c r="K134" s="83"/>
      <c r="L134" s="84">
        <f t="shared" si="41"/>
        <v>0</v>
      </c>
      <c r="M134" s="65"/>
      <c r="N134" s="65"/>
      <c r="O134" s="65"/>
      <c r="P134" s="65"/>
      <c r="Q134" s="65"/>
      <c r="R134" s="65"/>
      <c r="S134" s="65"/>
      <c r="T134" s="65"/>
      <c r="U134" s="65"/>
      <c r="V134" s="65"/>
      <c r="W134" s="65"/>
      <c r="X134" s="65"/>
      <c r="Y134" s="65"/>
      <c r="Z134" s="66"/>
      <c r="AA134" s="66"/>
      <c r="AB134" s="66"/>
    </row>
    <row r="135" hidden="1" outlineLevel="1">
      <c r="A135" s="71">
        <v>46140.0</v>
      </c>
      <c r="B135" s="74">
        <v>0.1</v>
      </c>
      <c r="C135" s="75">
        <v>0.1</v>
      </c>
      <c r="D135" s="76">
        <v>0.05</v>
      </c>
      <c r="E135" s="77">
        <v>3.0</v>
      </c>
      <c r="F135" s="78">
        <v>1000.0</v>
      </c>
      <c r="G135" s="79">
        <f t="shared" si="51"/>
        <v>0</v>
      </c>
      <c r="H135" s="80">
        <f t="shared" si="52"/>
        <v>0</v>
      </c>
      <c r="I135" s="81">
        <f t="shared" si="53"/>
        <v>0</v>
      </c>
      <c r="J135" s="82"/>
      <c r="K135" s="83"/>
      <c r="L135" s="84">
        <f t="shared" si="41"/>
        <v>0</v>
      </c>
      <c r="M135" s="65"/>
      <c r="N135" s="65"/>
      <c r="O135" s="65"/>
      <c r="P135" s="65"/>
      <c r="Q135" s="65"/>
      <c r="R135" s="65"/>
      <c r="S135" s="65"/>
      <c r="T135" s="65"/>
      <c r="U135" s="65"/>
      <c r="V135" s="65"/>
      <c r="W135" s="65"/>
      <c r="X135" s="65"/>
      <c r="Y135" s="65"/>
      <c r="Z135" s="66"/>
      <c r="AA135" s="66"/>
      <c r="AB135" s="66"/>
    </row>
    <row r="136" hidden="1" outlineLevel="1">
      <c r="A136" s="71">
        <v>46141.0</v>
      </c>
      <c r="B136" s="74">
        <v>0.1</v>
      </c>
      <c r="C136" s="75">
        <v>0.1</v>
      </c>
      <c r="D136" s="76">
        <v>0.05</v>
      </c>
      <c r="E136" s="77">
        <v>3.0</v>
      </c>
      <c r="F136" s="78">
        <v>1000.0</v>
      </c>
      <c r="G136" s="79">
        <f t="shared" si="51"/>
        <v>0</v>
      </c>
      <c r="H136" s="80">
        <f t="shared" si="52"/>
        <v>0</v>
      </c>
      <c r="I136" s="81">
        <f t="shared" si="53"/>
        <v>0</v>
      </c>
      <c r="J136" s="82"/>
      <c r="K136" s="83"/>
      <c r="L136" s="84">
        <f t="shared" si="41"/>
        <v>0</v>
      </c>
      <c r="M136" s="65"/>
      <c r="N136" s="65"/>
      <c r="O136" s="65"/>
      <c r="P136" s="65"/>
      <c r="Q136" s="65"/>
      <c r="R136" s="65"/>
      <c r="S136" s="65"/>
      <c r="T136" s="65"/>
      <c r="U136" s="65"/>
      <c r="V136" s="65"/>
      <c r="W136" s="65"/>
      <c r="X136" s="65"/>
      <c r="Y136" s="65"/>
      <c r="Z136" s="66"/>
      <c r="AA136" s="66"/>
      <c r="AB136" s="66"/>
    </row>
    <row r="137" hidden="1" outlineLevel="1">
      <c r="A137" s="71">
        <v>46142.0</v>
      </c>
      <c r="B137" s="74">
        <v>0.1</v>
      </c>
      <c r="C137" s="75">
        <v>0.1</v>
      </c>
      <c r="D137" s="76">
        <v>0.05</v>
      </c>
      <c r="E137" s="77">
        <v>3.0</v>
      </c>
      <c r="F137" s="78">
        <v>1000.0</v>
      </c>
      <c r="G137" s="79">
        <f t="shared" si="51"/>
        <v>0</v>
      </c>
      <c r="H137" s="80">
        <f t="shared" si="52"/>
        <v>0</v>
      </c>
      <c r="I137" s="81">
        <f t="shared" si="53"/>
        <v>0</v>
      </c>
      <c r="J137" s="82"/>
      <c r="K137" s="83"/>
      <c r="L137" s="84">
        <f t="shared" si="41"/>
        <v>0</v>
      </c>
      <c r="M137" s="65"/>
      <c r="N137" s="65"/>
      <c r="O137" s="65"/>
      <c r="P137" s="65"/>
      <c r="Q137" s="65"/>
      <c r="R137" s="65"/>
      <c r="S137" s="65"/>
      <c r="T137" s="65"/>
      <c r="U137" s="65"/>
      <c r="V137" s="65"/>
      <c r="W137" s="65"/>
      <c r="X137" s="65"/>
      <c r="Y137" s="65"/>
      <c r="Z137" s="66"/>
      <c r="AA137" s="66"/>
      <c r="AB137" s="66"/>
    </row>
    <row r="138" hidden="1" outlineLevel="1">
      <c r="A138" s="85" t="s">
        <v>41</v>
      </c>
      <c r="C138" s="86">
        <f>SUM(C108:C137)</f>
        <v>2.2</v>
      </c>
      <c r="D138" s="87"/>
      <c r="E138" s="87"/>
      <c r="F138" s="87"/>
      <c r="G138" s="87"/>
      <c r="H138" s="87"/>
      <c r="I138" s="88">
        <f t="shared" ref="I138:K138" si="54">SUM(I108:I137)</f>
        <v>0</v>
      </c>
      <c r="J138" s="89">
        <f t="shared" si="54"/>
        <v>0</v>
      </c>
      <c r="K138" s="87">
        <f t="shared" si="54"/>
        <v>0</v>
      </c>
      <c r="L138" s="89">
        <f>L137</f>
        <v>0</v>
      </c>
      <c r="M138" s="65"/>
      <c r="N138" s="65"/>
      <c r="O138" s="65"/>
      <c r="P138" s="65"/>
      <c r="Q138" s="65"/>
      <c r="R138" s="65"/>
      <c r="S138" s="65"/>
      <c r="T138" s="65"/>
      <c r="U138" s="65"/>
      <c r="V138" s="65"/>
      <c r="W138" s="65"/>
      <c r="X138" s="65"/>
      <c r="Y138" s="65"/>
      <c r="Z138" s="66"/>
      <c r="AA138" s="66"/>
      <c r="AB138" s="66"/>
    </row>
    <row r="139">
      <c r="A139" s="95"/>
      <c r="B139" s="92"/>
      <c r="C139" s="92"/>
      <c r="D139" s="92"/>
      <c r="E139" s="92"/>
      <c r="F139" s="92"/>
      <c r="G139" s="92"/>
      <c r="H139" s="92"/>
      <c r="I139" s="92"/>
      <c r="J139" s="92"/>
      <c r="K139" s="94">
        <f>SUM(K108:K137)</f>
        <v>0</v>
      </c>
      <c r="L139" s="92"/>
      <c r="M139" s="65"/>
      <c r="N139" s="65"/>
      <c r="O139" s="65"/>
      <c r="P139" s="65"/>
      <c r="Q139" s="65"/>
      <c r="R139" s="65"/>
      <c r="S139" s="65"/>
      <c r="T139" s="65"/>
      <c r="U139" s="65"/>
      <c r="V139" s="65"/>
      <c r="W139" s="65"/>
      <c r="X139" s="65"/>
      <c r="Y139" s="65"/>
      <c r="Z139" s="66"/>
      <c r="AA139" s="66"/>
      <c r="AB139" s="66"/>
    </row>
    <row r="140" collapsed="1">
      <c r="A140" s="57" t="s">
        <v>46</v>
      </c>
      <c r="M140" s="65"/>
      <c r="N140" s="65"/>
      <c r="O140" s="65"/>
      <c r="P140" s="65"/>
      <c r="Q140" s="65"/>
      <c r="R140" s="65"/>
      <c r="S140" s="65"/>
      <c r="T140" s="65"/>
      <c r="U140" s="65"/>
      <c r="V140" s="65"/>
      <c r="W140" s="65"/>
      <c r="X140" s="65"/>
      <c r="Y140" s="65"/>
      <c r="Z140" s="66"/>
      <c r="AA140" s="66"/>
      <c r="AB140" s="66"/>
    </row>
    <row r="141" hidden="1" outlineLevel="1">
      <c r="A141" s="71" t="s">
        <v>29</v>
      </c>
      <c r="B141" s="57" t="s">
        <v>30</v>
      </c>
      <c r="C141" s="57" t="s">
        <v>31</v>
      </c>
      <c r="D141" s="72" t="s">
        <v>32</v>
      </c>
      <c r="E141" s="72" t="s">
        <v>33</v>
      </c>
      <c r="F141" s="72" t="s">
        <v>34</v>
      </c>
      <c r="G141" s="73" t="s">
        <v>35</v>
      </c>
      <c r="H141" s="72" t="s">
        <v>36</v>
      </c>
      <c r="I141" s="57" t="s">
        <v>37</v>
      </c>
      <c r="J141" s="74" t="s">
        <v>38</v>
      </c>
      <c r="K141" s="57" t="s">
        <v>39</v>
      </c>
      <c r="L141" s="57" t="s">
        <v>40</v>
      </c>
      <c r="M141" s="65"/>
      <c r="N141" s="65"/>
      <c r="O141" s="65"/>
      <c r="P141" s="65"/>
      <c r="Q141" s="65"/>
      <c r="R141" s="65"/>
      <c r="S141" s="65"/>
      <c r="T141" s="65"/>
      <c r="U141" s="65"/>
      <c r="V141" s="65"/>
      <c r="W141" s="65"/>
      <c r="X141" s="65"/>
      <c r="Y141" s="65"/>
      <c r="Z141" s="66"/>
      <c r="AA141" s="66"/>
      <c r="AB141" s="66"/>
    </row>
    <row r="142" hidden="1" outlineLevel="1">
      <c r="A142" s="71">
        <v>46143.0</v>
      </c>
      <c r="B142" s="74">
        <v>0.1</v>
      </c>
      <c r="C142" s="75">
        <v>0.1</v>
      </c>
      <c r="D142" s="76">
        <v>0.05</v>
      </c>
      <c r="E142" s="77">
        <v>3.0</v>
      </c>
      <c r="F142" s="78">
        <v>1000.0</v>
      </c>
      <c r="G142" s="79">
        <f>L138*C142</f>
        <v>0</v>
      </c>
      <c r="H142" s="80">
        <f>L138*D142</f>
        <v>0</v>
      </c>
      <c r="I142" s="81">
        <f>(J142/L138)*100</f>
        <v>0</v>
      </c>
      <c r="J142" s="82"/>
      <c r="K142" s="83"/>
      <c r="L142" s="84">
        <f>(L138+J142)-K142</f>
        <v>0</v>
      </c>
      <c r="M142" s="65"/>
      <c r="N142" s="65"/>
      <c r="O142" s="65"/>
      <c r="P142" s="65"/>
      <c r="Q142" s="65"/>
      <c r="R142" s="65"/>
      <c r="S142" s="65"/>
      <c r="T142" s="65"/>
      <c r="U142" s="65"/>
      <c r="V142" s="65"/>
      <c r="W142" s="65"/>
      <c r="X142" s="65"/>
      <c r="Y142" s="65"/>
      <c r="Z142" s="66"/>
      <c r="AA142" s="66"/>
      <c r="AB142" s="66"/>
    </row>
    <row r="143" hidden="1" outlineLevel="1">
      <c r="A143" s="71">
        <v>46144.0</v>
      </c>
      <c r="B143" s="74">
        <v>0.1</v>
      </c>
      <c r="C143" s="75">
        <v>0.1</v>
      </c>
      <c r="D143" s="76">
        <v>0.05</v>
      </c>
      <c r="E143" s="77">
        <v>3.0</v>
      </c>
      <c r="F143" s="78">
        <v>1000.0</v>
      </c>
      <c r="G143" s="79">
        <f t="shared" ref="G143:G172" si="55">L142*C143</f>
        <v>0</v>
      </c>
      <c r="H143" s="80">
        <f t="shared" ref="H143:H172" si="56">L142*D143</f>
        <v>0</v>
      </c>
      <c r="I143" s="81">
        <f t="shared" ref="I143:I172" si="57">(J143/L142)*100</f>
        <v>0</v>
      </c>
      <c r="J143" s="82"/>
      <c r="K143" s="83"/>
      <c r="L143" s="84">
        <f t="shared" ref="L143:L172" si="58">(L142+J143)-K143</f>
        <v>0</v>
      </c>
      <c r="M143" s="65"/>
      <c r="N143" s="65"/>
      <c r="O143" s="65"/>
      <c r="P143" s="65"/>
      <c r="Q143" s="65"/>
      <c r="R143" s="65"/>
      <c r="S143" s="65"/>
      <c r="T143" s="65"/>
      <c r="U143" s="65"/>
      <c r="V143" s="65"/>
      <c r="W143" s="65"/>
      <c r="X143" s="65"/>
      <c r="Y143" s="65"/>
      <c r="Z143" s="66"/>
      <c r="AA143" s="66"/>
      <c r="AB143" s="66"/>
    </row>
    <row r="144" hidden="1" outlineLevel="1">
      <c r="A144" s="71">
        <v>46145.0</v>
      </c>
      <c r="B144" s="74">
        <v>0.1</v>
      </c>
      <c r="C144" s="75">
        <v>0.1</v>
      </c>
      <c r="D144" s="76">
        <v>0.05</v>
      </c>
      <c r="E144" s="77">
        <v>3.0</v>
      </c>
      <c r="F144" s="78">
        <v>1000.0</v>
      </c>
      <c r="G144" s="79">
        <f t="shared" si="55"/>
        <v>0</v>
      </c>
      <c r="H144" s="80">
        <f t="shared" si="56"/>
        <v>0</v>
      </c>
      <c r="I144" s="81">
        <f t="shared" si="57"/>
        <v>0</v>
      </c>
      <c r="J144" s="82"/>
      <c r="K144" s="83"/>
      <c r="L144" s="84">
        <f t="shared" si="58"/>
        <v>0</v>
      </c>
      <c r="M144" s="65"/>
      <c r="N144" s="65"/>
      <c r="O144" s="65"/>
      <c r="P144" s="65"/>
      <c r="Q144" s="65"/>
      <c r="R144" s="65"/>
      <c r="S144" s="65"/>
      <c r="T144" s="65"/>
      <c r="U144" s="65"/>
      <c r="V144" s="65"/>
      <c r="W144" s="65"/>
      <c r="X144" s="65"/>
      <c r="Y144" s="65"/>
      <c r="Z144" s="66"/>
      <c r="AA144" s="66"/>
      <c r="AB144" s="66"/>
    </row>
    <row r="145" hidden="1" outlineLevel="1">
      <c r="A145" s="71">
        <v>46146.0</v>
      </c>
      <c r="B145" s="74">
        <v>0.1</v>
      </c>
      <c r="C145" s="75">
        <v>0.1</v>
      </c>
      <c r="D145" s="76">
        <v>0.05</v>
      </c>
      <c r="E145" s="77">
        <v>3.0</v>
      </c>
      <c r="F145" s="78">
        <v>1000.0</v>
      </c>
      <c r="G145" s="79">
        <f t="shared" si="55"/>
        <v>0</v>
      </c>
      <c r="H145" s="80">
        <f t="shared" si="56"/>
        <v>0</v>
      </c>
      <c r="I145" s="81">
        <f t="shared" si="57"/>
        <v>0</v>
      </c>
      <c r="J145" s="82"/>
      <c r="K145" s="83"/>
      <c r="L145" s="84">
        <f t="shared" si="58"/>
        <v>0</v>
      </c>
      <c r="M145" s="65"/>
      <c r="N145" s="65"/>
      <c r="O145" s="65"/>
      <c r="P145" s="65"/>
      <c r="Q145" s="65"/>
      <c r="R145" s="65"/>
      <c r="S145" s="65"/>
      <c r="T145" s="65"/>
      <c r="U145" s="65"/>
      <c r="V145" s="65"/>
      <c r="W145" s="65"/>
      <c r="X145" s="65"/>
      <c r="Y145" s="65"/>
      <c r="Z145" s="66"/>
      <c r="AA145" s="66"/>
      <c r="AB145" s="66"/>
    </row>
    <row r="146" hidden="1" outlineLevel="1">
      <c r="A146" s="71">
        <v>46147.0</v>
      </c>
      <c r="B146" s="74">
        <v>0.1</v>
      </c>
      <c r="C146" s="75">
        <v>0.1</v>
      </c>
      <c r="D146" s="76">
        <v>0.05</v>
      </c>
      <c r="E146" s="77">
        <v>3.0</v>
      </c>
      <c r="F146" s="78">
        <v>1000.0</v>
      </c>
      <c r="G146" s="79">
        <f t="shared" si="55"/>
        <v>0</v>
      </c>
      <c r="H146" s="80">
        <f t="shared" si="56"/>
        <v>0</v>
      </c>
      <c r="I146" s="81">
        <f t="shared" si="57"/>
        <v>0</v>
      </c>
      <c r="J146" s="82"/>
      <c r="K146" s="83"/>
      <c r="L146" s="84">
        <f t="shared" si="58"/>
        <v>0</v>
      </c>
      <c r="M146" s="65"/>
      <c r="N146" s="65"/>
      <c r="O146" s="65"/>
      <c r="P146" s="65"/>
      <c r="Q146" s="65"/>
      <c r="R146" s="65"/>
      <c r="S146" s="65"/>
      <c r="T146" s="65"/>
      <c r="U146" s="65"/>
      <c r="V146" s="65"/>
      <c r="W146" s="65"/>
      <c r="X146" s="65"/>
      <c r="Y146" s="65"/>
      <c r="Z146" s="66"/>
      <c r="AA146" s="66"/>
      <c r="AB146" s="66"/>
    </row>
    <row r="147" hidden="1" outlineLevel="1">
      <c r="A147" s="71">
        <v>46148.0</v>
      </c>
      <c r="B147" s="74">
        <v>0.1</v>
      </c>
      <c r="C147" s="75">
        <v>0.1</v>
      </c>
      <c r="D147" s="76">
        <v>0.05</v>
      </c>
      <c r="E147" s="77">
        <v>3.0</v>
      </c>
      <c r="F147" s="78">
        <v>1000.0</v>
      </c>
      <c r="G147" s="79">
        <f t="shared" si="55"/>
        <v>0</v>
      </c>
      <c r="H147" s="80">
        <f t="shared" si="56"/>
        <v>0</v>
      </c>
      <c r="I147" s="81">
        <f t="shared" si="57"/>
        <v>0</v>
      </c>
      <c r="J147" s="82"/>
      <c r="K147" s="83"/>
      <c r="L147" s="84">
        <f t="shared" si="58"/>
        <v>0</v>
      </c>
      <c r="M147" s="65"/>
      <c r="N147" s="65"/>
      <c r="O147" s="65"/>
      <c r="P147" s="65"/>
      <c r="Q147" s="65"/>
      <c r="R147" s="65"/>
      <c r="S147" s="65"/>
      <c r="T147" s="65"/>
      <c r="U147" s="65"/>
      <c r="V147" s="65"/>
      <c r="W147" s="65"/>
      <c r="X147" s="65"/>
      <c r="Y147" s="65"/>
      <c r="Z147" s="66"/>
      <c r="AA147" s="66"/>
      <c r="AB147" s="66"/>
    </row>
    <row r="148" hidden="1" outlineLevel="1">
      <c r="A148" s="71">
        <v>46149.0</v>
      </c>
      <c r="B148" s="74">
        <v>0.1</v>
      </c>
      <c r="C148" s="75">
        <v>0.1</v>
      </c>
      <c r="D148" s="76">
        <v>0.05</v>
      </c>
      <c r="E148" s="77">
        <v>3.0</v>
      </c>
      <c r="F148" s="78">
        <v>1000.0</v>
      </c>
      <c r="G148" s="79">
        <f t="shared" si="55"/>
        <v>0</v>
      </c>
      <c r="H148" s="80">
        <f t="shared" si="56"/>
        <v>0</v>
      </c>
      <c r="I148" s="81">
        <f t="shared" si="57"/>
        <v>0</v>
      </c>
      <c r="J148" s="82"/>
      <c r="K148" s="83"/>
      <c r="L148" s="84">
        <f t="shared" si="58"/>
        <v>0</v>
      </c>
      <c r="M148" s="65"/>
      <c r="N148" s="65"/>
      <c r="O148" s="65"/>
      <c r="P148" s="65"/>
      <c r="Q148" s="65"/>
      <c r="R148" s="65"/>
      <c r="S148" s="65"/>
      <c r="T148" s="65"/>
      <c r="U148" s="65"/>
      <c r="V148" s="65"/>
      <c r="W148" s="65"/>
      <c r="X148" s="65"/>
      <c r="Y148" s="65"/>
      <c r="Z148" s="66"/>
      <c r="AA148" s="66"/>
      <c r="AB148" s="66"/>
    </row>
    <row r="149" hidden="1" outlineLevel="1">
      <c r="A149" s="71">
        <v>46150.0</v>
      </c>
      <c r="B149" s="74">
        <v>0.1</v>
      </c>
      <c r="C149" s="75">
        <v>0.1</v>
      </c>
      <c r="D149" s="76">
        <v>0.05</v>
      </c>
      <c r="E149" s="77">
        <v>3.0</v>
      </c>
      <c r="F149" s="78">
        <v>1000.0</v>
      </c>
      <c r="G149" s="79">
        <f t="shared" si="55"/>
        <v>0</v>
      </c>
      <c r="H149" s="80">
        <f t="shared" si="56"/>
        <v>0</v>
      </c>
      <c r="I149" s="81">
        <f t="shared" si="57"/>
        <v>0</v>
      </c>
      <c r="J149" s="82"/>
      <c r="K149" s="83"/>
      <c r="L149" s="84">
        <f t="shared" si="58"/>
        <v>0</v>
      </c>
      <c r="M149" s="65"/>
      <c r="N149" s="65"/>
      <c r="O149" s="65"/>
      <c r="P149" s="65"/>
      <c r="Q149" s="65"/>
      <c r="R149" s="65"/>
      <c r="S149" s="65"/>
      <c r="T149" s="65"/>
      <c r="U149" s="65"/>
      <c r="V149" s="65"/>
      <c r="W149" s="65"/>
      <c r="X149" s="65"/>
      <c r="Y149" s="65"/>
      <c r="Z149" s="66"/>
      <c r="AA149" s="66"/>
      <c r="AB149" s="66"/>
    </row>
    <row r="150" hidden="1" outlineLevel="1">
      <c r="A150" s="71">
        <v>46151.0</v>
      </c>
      <c r="B150" s="74">
        <v>0.1</v>
      </c>
      <c r="C150" s="75">
        <v>0.1</v>
      </c>
      <c r="D150" s="76">
        <v>0.05</v>
      </c>
      <c r="E150" s="77">
        <v>3.0</v>
      </c>
      <c r="F150" s="78">
        <v>1000.0</v>
      </c>
      <c r="G150" s="79">
        <f t="shared" si="55"/>
        <v>0</v>
      </c>
      <c r="H150" s="80">
        <f t="shared" si="56"/>
        <v>0</v>
      </c>
      <c r="I150" s="81">
        <f t="shared" si="57"/>
        <v>0</v>
      </c>
      <c r="J150" s="82"/>
      <c r="K150" s="83"/>
      <c r="L150" s="84">
        <f t="shared" si="58"/>
        <v>0</v>
      </c>
      <c r="M150" s="65"/>
      <c r="N150" s="65"/>
      <c r="O150" s="65"/>
      <c r="P150" s="65"/>
      <c r="Q150" s="65"/>
      <c r="R150" s="65"/>
      <c r="S150" s="65"/>
      <c r="T150" s="65"/>
      <c r="U150" s="65"/>
      <c r="V150" s="65"/>
      <c r="W150" s="65"/>
      <c r="X150" s="65"/>
      <c r="Y150" s="65"/>
      <c r="Z150" s="66"/>
      <c r="AA150" s="66"/>
      <c r="AB150" s="66"/>
    </row>
    <row r="151" hidden="1" outlineLevel="1">
      <c r="A151" s="71">
        <v>46152.0</v>
      </c>
      <c r="B151" s="74">
        <v>0.1</v>
      </c>
      <c r="C151" s="75">
        <v>0.1</v>
      </c>
      <c r="D151" s="76">
        <v>0.05</v>
      </c>
      <c r="E151" s="77">
        <v>3.0</v>
      </c>
      <c r="F151" s="78">
        <v>1000.0</v>
      </c>
      <c r="G151" s="79">
        <f t="shared" si="55"/>
        <v>0</v>
      </c>
      <c r="H151" s="80">
        <f t="shared" si="56"/>
        <v>0</v>
      </c>
      <c r="I151" s="81">
        <f t="shared" si="57"/>
        <v>0</v>
      </c>
      <c r="J151" s="82"/>
      <c r="K151" s="83"/>
      <c r="L151" s="84">
        <f t="shared" si="58"/>
        <v>0</v>
      </c>
      <c r="M151" s="65"/>
      <c r="N151" s="65"/>
      <c r="O151" s="65"/>
      <c r="P151" s="65"/>
      <c r="Q151" s="65"/>
      <c r="R151" s="65"/>
      <c r="S151" s="65"/>
      <c r="T151" s="65"/>
      <c r="U151" s="65"/>
      <c r="V151" s="65"/>
      <c r="W151" s="65"/>
      <c r="X151" s="65"/>
      <c r="Y151" s="65"/>
      <c r="Z151" s="66"/>
      <c r="AA151" s="66"/>
      <c r="AB151" s="66"/>
    </row>
    <row r="152" hidden="1" outlineLevel="1">
      <c r="A152" s="71">
        <v>46153.0</v>
      </c>
      <c r="B152" s="74">
        <v>0.1</v>
      </c>
      <c r="C152" s="75">
        <v>0.1</v>
      </c>
      <c r="D152" s="76">
        <v>0.05</v>
      </c>
      <c r="E152" s="77">
        <v>3.0</v>
      </c>
      <c r="F152" s="78">
        <v>1000.0</v>
      </c>
      <c r="G152" s="79">
        <f t="shared" si="55"/>
        <v>0</v>
      </c>
      <c r="H152" s="80">
        <f t="shared" si="56"/>
        <v>0</v>
      </c>
      <c r="I152" s="81">
        <f t="shared" si="57"/>
        <v>0</v>
      </c>
      <c r="J152" s="82"/>
      <c r="K152" s="83"/>
      <c r="L152" s="84">
        <f t="shared" si="58"/>
        <v>0</v>
      </c>
      <c r="M152" s="65"/>
      <c r="N152" s="65"/>
      <c r="O152" s="65"/>
      <c r="P152" s="65"/>
      <c r="Q152" s="65"/>
      <c r="R152" s="65"/>
      <c r="S152" s="65"/>
      <c r="T152" s="65"/>
      <c r="U152" s="65"/>
      <c r="V152" s="65"/>
      <c r="W152" s="65"/>
      <c r="X152" s="65"/>
      <c r="Y152" s="65"/>
      <c r="Z152" s="66"/>
      <c r="AA152" s="66"/>
      <c r="AB152" s="66"/>
    </row>
    <row r="153" hidden="1" outlineLevel="1">
      <c r="A153" s="71">
        <v>46154.0</v>
      </c>
      <c r="B153" s="74">
        <v>0.1</v>
      </c>
      <c r="C153" s="75">
        <v>0.1</v>
      </c>
      <c r="D153" s="76">
        <v>0.05</v>
      </c>
      <c r="E153" s="77">
        <v>3.0</v>
      </c>
      <c r="F153" s="78">
        <v>1000.0</v>
      </c>
      <c r="G153" s="79">
        <f t="shared" si="55"/>
        <v>0</v>
      </c>
      <c r="H153" s="80">
        <f t="shared" si="56"/>
        <v>0</v>
      </c>
      <c r="I153" s="81">
        <f t="shared" si="57"/>
        <v>0</v>
      </c>
      <c r="J153" s="82"/>
      <c r="K153" s="83"/>
      <c r="L153" s="84">
        <f t="shared" si="58"/>
        <v>0</v>
      </c>
      <c r="M153" s="65"/>
      <c r="N153" s="65"/>
      <c r="O153" s="65"/>
      <c r="P153" s="65"/>
      <c r="Q153" s="65"/>
      <c r="R153" s="65"/>
      <c r="S153" s="65"/>
      <c r="T153" s="65"/>
      <c r="U153" s="65"/>
      <c r="V153" s="65"/>
      <c r="W153" s="65"/>
      <c r="X153" s="65"/>
      <c r="Y153" s="65"/>
      <c r="Z153" s="66"/>
      <c r="AA153" s="66"/>
      <c r="AB153" s="66"/>
    </row>
    <row r="154" hidden="1" outlineLevel="1">
      <c r="A154" s="71">
        <v>46155.0</v>
      </c>
      <c r="B154" s="74">
        <v>0.1</v>
      </c>
      <c r="C154" s="75">
        <v>0.1</v>
      </c>
      <c r="D154" s="76">
        <v>0.05</v>
      </c>
      <c r="E154" s="77">
        <v>3.0</v>
      </c>
      <c r="F154" s="78">
        <v>1000.0</v>
      </c>
      <c r="G154" s="79">
        <f t="shared" si="55"/>
        <v>0</v>
      </c>
      <c r="H154" s="80">
        <f t="shared" si="56"/>
        <v>0</v>
      </c>
      <c r="I154" s="81">
        <f t="shared" si="57"/>
        <v>0</v>
      </c>
      <c r="J154" s="82"/>
      <c r="K154" s="83"/>
      <c r="L154" s="84">
        <f t="shared" si="58"/>
        <v>0</v>
      </c>
      <c r="M154" s="65"/>
      <c r="N154" s="65"/>
      <c r="O154" s="65"/>
      <c r="P154" s="65"/>
      <c r="Q154" s="65"/>
      <c r="R154" s="65"/>
      <c r="S154" s="65"/>
      <c r="T154" s="65"/>
      <c r="U154" s="65"/>
      <c r="V154" s="65"/>
      <c r="W154" s="65"/>
      <c r="X154" s="65"/>
      <c r="Y154" s="65"/>
      <c r="Z154" s="66"/>
      <c r="AA154" s="66"/>
      <c r="AB154" s="66"/>
    </row>
    <row r="155" hidden="1" outlineLevel="1">
      <c r="A155" s="71">
        <v>46156.0</v>
      </c>
      <c r="B155" s="74">
        <v>0.1</v>
      </c>
      <c r="C155" s="75">
        <v>0.1</v>
      </c>
      <c r="D155" s="76">
        <v>0.05</v>
      </c>
      <c r="E155" s="77">
        <v>3.0</v>
      </c>
      <c r="F155" s="78">
        <v>1000.0</v>
      </c>
      <c r="G155" s="79">
        <f t="shared" si="55"/>
        <v>0</v>
      </c>
      <c r="H155" s="80">
        <f t="shared" si="56"/>
        <v>0</v>
      </c>
      <c r="I155" s="81">
        <f t="shared" si="57"/>
        <v>0</v>
      </c>
      <c r="J155" s="82"/>
      <c r="K155" s="83"/>
      <c r="L155" s="84">
        <f t="shared" si="58"/>
        <v>0</v>
      </c>
      <c r="M155" s="65"/>
      <c r="N155" s="65"/>
      <c r="O155" s="65"/>
      <c r="P155" s="65"/>
      <c r="Q155" s="65"/>
      <c r="R155" s="65"/>
      <c r="S155" s="65"/>
      <c r="T155" s="65"/>
      <c r="U155" s="65"/>
      <c r="V155" s="65"/>
      <c r="W155" s="65"/>
      <c r="X155" s="65"/>
      <c r="Y155" s="65"/>
      <c r="Z155" s="66"/>
      <c r="AA155" s="66"/>
      <c r="AB155" s="66"/>
    </row>
    <row r="156" hidden="1" outlineLevel="1">
      <c r="A156" s="71">
        <v>46157.0</v>
      </c>
      <c r="B156" s="74">
        <v>0.1</v>
      </c>
      <c r="C156" s="75">
        <v>0.1</v>
      </c>
      <c r="D156" s="76">
        <v>0.05</v>
      </c>
      <c r="E156" s="77">
        <v>3.0</v>
      </c>
      <c r="F156" s="78">
        <v>1000.0</v>
      </c>
      <c r="G156" s="79">
        <f t="shared" si="55"/>
        <v>0</v>
      </c>
      <c r="H156" s="80">
        <f t="shared" si="56"/>
        <v>0</v>
      </c>
      <c r="I156" s="81">
        <f t="shared" si="57"/>
        <v>0</v>
      </c>
      <c r="J156" s="82"/>
      <c r="K156" s="83"/>
      <c r="L156" s="84">
        <f t="shared" si="58"/>
        <v>0</v>
      </c>
      <c r="M156" s="65"/>
      <c r="N156" s="65"/>
      <c r="O156" s="65"/>
      <c r="P156" s="65"/>
      <c r="Q156" s="65"/>
      <c r="R156" s="65"/>
      <c r="S156" s="65"/>
      <c r="T156" s="65"/>
      <c r="U156" s="65"/>
      <c r="V156" s="65"/>
      <c r="W156" s="65"/>
      <c r="X156" s="65"/>
      <c r="Y156" s="65"/>
      <c r="Z156" s="66"/>
      <c r="AA156" s="66"/>
      <c r="AB156" s="66"/>
    </row>
    <row r="157" hidden="1" outlineLevel="1">
      <c r="A157" s="71">
        <v>46158.0</v>
      </c>
      <c r="B157" s="74">
        <v>0.1</v>
      </c>
      <c r="C157" s="75">
        <v>0.1</v>
      </c>
      <c r="D157" s="76">
        <v>0.05</v>
      </c>
      <c r="E157" s="77">
        <v>3.0</v>
      </c>
      <c r="F157" s="78">
        <v>1000.0</v>
      </c>
      <c r="G157" s="79">
        <f t="shared" si="55"/>
        <v>0</v>
      </c>
      <c r="H157" s="80">
        <f t="shared" si="56"/>
        <v>0</v>
      </c>
      <c r="I157" s="81">
        <f t="shared" si="57"/>
        <v>0</v>
      </c>
      <c r="J157" s="82"/>
      <c r="K157" s="83"/>
      <c r="L157" s="84">
        <f t="shared" si="58"/>
        <v>0</v>
      </c>
      <c r="M157" s="65"/>
      <c r="N157" s="65"/>
      <c r="O157" s="65"/>
      <c r="P157" s="65"/>
      <c r="Q157" s="65"/>
      <c r="R157" s="65"/>
      <c r="S157" s="65"/>
      <c r="T157" s="65"/>
      <c r="U157" s="65"/>
      <c r="V157" s="65"/>
      <c r="W157" s="65"/>
      <c r="X157" s="65"/>
      <c r="Y157" s="65"/>
      <c r="Z157" s="66"/>
      <c r="AA157" s="66"/>
      <c r="AB157" s="66"/>
    </row>
    <row r="158" hidden="1" outlineLevel="1">
      <c r="A158" s="71">
        <v>46159.0</v>
      </c>
      <c r="B158" s="74">
        <v>0.1</v>
      </c>
      <c r="C158" s="75">
        <v>0.1</v>
      </c>
      <c r="D158" s="76">
        <v>0.05</v>
      </c>
      <c r="E158" s="77">
        <v>3.0</v>
      </c>
      <c r="F158" s="78">
        <v>1000.0</v>
      </c>
      <c r="G158" s="79">
        <f t="shared" si="55"/>
        <v>0</v>
      </c>
      <c r="H158" s="80">
        <f t="shared" si="56"/>
        <v>0</v>
      </c>
      <c r="I158" s="81">
        <f t="shared" si="57"/>
        <v>0</v>
      </c>
      <c r="J158" s="82"/>
      <c r="K158" s="83"/>
      <c r="L158" s="84">
        <f t="shared" si="58"/>
        <v>0</v>
      </c>
      <c r="M158" s="65"/>
      <c r="N158" s="65"/>
      <c r="O158" s="65"/>
      <c r="P158" s="65"/>
      <c r="Q158" s="65"/>
      <c r="R158" s="65"/>
      <c r="S158" s="65"/>
      <c r="T158" s="65"/>
      <c r="U158" s="65"/>
      <c r="V158" s="65"/>
      <c r="W158" s="65"/>
      <c r="X158" s="65"/>
      <c r="Y158" s="65"/>
      <c r="Z158" s="66"/>
      <c r="AA158" s="66"/>
      <c r="AB158" s="66"/>
    </row>
    <row r="159" hidden="1" outlineLevel="1">
      <c r="A159" s="71">
        <v>46160.0</v>
      </c>
      <c r="B159" s="74">
        <v>0.1</v>
      </c>
      <c r="C159" s="75">
        <v>0.1</v>
      </c>
      <c r="D159" s="76">
        <v>0.05</v>
      </c>
      <c r="E159" s="77">
        <v>3.0</v>
      </c>
      <c r="F159" s="78">
        <v>1000.0</v>
      </c>
      <c r="G159" s="79">
        <f t="shared" si="55"/>
        <v>0</v>
      </c>
      <c r="H159" s="80">
        <f t="shared" si="56"/>
        <v>0</v>
      </c>
      <c r="I159" s="81">
        <f t="shared" si="57"/>
        <v>0</v>
      </c>
      <c r="J159" s="82"/>
      <c r="K159" s="83"/>
      <c r="L159" s="84">
        <f t="shared" si="58"/>
        <v>0</v>
      </c>
      <c r="M159" s="65"/>
      <c r="N159" s="65"/>
      <c r="O159" s="65"/>
      <c r="P159" s="65"/>
      <c r="Q159" s="65"/>
      <c r="R159" s="65"/>
      <c r="S159" s="65"/>
      <c r="T159" s="65"/>
      <c r="U159" s="65"/>
      <c r="V159" s="65"/>
      <c r="W159" s="65"/>
      <c r="X159" s="65"/>
      <c r="Y159" s="65"/>
      <c r="Z159" s="66"/>
      <c r="AA159" s="66"/>
      <c r="AB159" s="66"/>
    </row>
    <row r="160" hidden="1" outlineLevel="1">
      <c r="A160" s="71">
        <v>46161.0</v>
      </c>
      <c r="B160" s="74">
        <v>0.1</v>
      </c>
      <c r="C160" s="75">
        <v>0.1</v>
      </c>
      <c r="D160" s="76">
        <v>0.05</v>
      </c>
      <c r="E160" s="77">
        <v>3.0</v>
      </c>
      <c r="F160" s="78">
        <v>1000.0</v>
      </c>
      <c r="G160" s="79">
        <f t="shared" si="55"/>
        <v>0</v>
      </c>
      <c r="H160" s="80">
        <f t="shared" si="56"/>
        <v>0</v>
      </c>
      <c r="I160" s="81">
        <f t="shared" si="57"/>
        <v>0</v>
      </c>
      <c r="J160" s="82"/>
      <c r="K160" s="83"/>
      <c r="L160" s="84">
        <f t="shared" si="58"/>
        <v>0</v>
      </c>
      <c r="M160" s="65"/>
      <c r="N160" s="65"/>
      <c r="O160" s="65"/>
      <c r="P160" s="65"/>
      <c r="Q160" s="65"/>
      <c r="R160" s="65"/>
      <c r="S160" s="65"/>
      <c r="T160" s="65"/>
      <c r="U160" s="65"/>
      <c r="V160" s="65"/>
      <c r="W160" s="65"/>
      <c r="X160" s="65"/>
      <c r="Y160" s="65"/>
      <c r="Z160" s="66"/>
      <c r="AA160" s="66"/>
      <c r="AB160" s="66"/>
    </row>
    <row r="161" hidden="1" outlineLevel="1">
      <c r="A161" s="71">
        <v>46162.0</v>
      </c>
      <c r="B161" s="74">
        <v>0.1</v>
      </c>
      <c r="C161" s="75">
        <v>0.1</v>
      </c>
      <c r="D161" s="76">
        <v>0.05</v>
      </c>
      <c r="E161" s="77">
        <v>3.0</v>
      </c>
      <c r="F161" s="78">
        <v>1000.0</v>
      </c>
      <c r="G161" s="79">
        <f t="shared" si="55"/>
        <v>0</v>
      </c>
      <c r="H161" s="80">
        <f t="shared" si="56"/>
        <v>0</v>
      </c>
      <c r="I161" s="81">
        <f t="shared" si="57"/>
        <v>0</v>
      </c>
      <c r="J161" s="82"/>
      <c r="K161" s="83"/>
      <c r="L161" s="84">
        <f t="shared" si="58"/>
        <v>0</v>
      </c>
      <c r="M161" s="65"/>
      <c r="N161" s="65"/>
      <c r="O161" s="65"/>
      <c r="P161" s="65"/>
      <c r="Q161" s="65"/>
      <c r="R161" s="65"/>
      <c r="S161" s="65"/>
      <c r="T161" s="65"/>
      <c r="U161" s="65"/>
      <c r="V161" s="65"/>
      <c r="W161" s="65"/>
      <c r="X161" s="65"/>
      <c r="Y161" s="65"/>
      <c r="Z161" s="66"/>
      <c r="AA161" s="66"/>
      <c r="AB161" s="66"/>
    </row>
    <row r="162" hidden="1" outlineLevel="1">
      <c r="A162" s="71">
        <v>46163.0</v>
      </c>
      <c r="B162" s="74">
        <v>0.1</v>
      </c>
      <c r="C162" s="75">
        <v>0.1</v>
      </c>
      <c r="D162" s="76">
        <v>0.05</v>
      </c>
      <c r="E162" s="77">
        <v>3.0</v>
      </c>
      <c r="F162" s="78">
        <v>1000.0</v>
      </c>
      <c r="G162" s="79">
        <f t="shared" si="55"/>
        <v>0</v>
      </c>
      <c r="H162" s="80">
        <f t="shared" si="56"/>
        <v>0</v>
      </c>
      <c r="I162" s="81">
        <f t="shared" si="57"/>
        <v>0</v>
      </c>
      <c r="J162" s="82"/>
      <c r="K162" s="83"/>
      <c r="L162" s="84">
        <f t="shared" si="58"/>
        <v>0</v>
      </c>
      <c r="M162" s="65"/>
      <c r="N162" s="65"/>
      <c r="O162" s="65"/>
      <c r="P162" s="65"/>
      <c r="Q162" s="65"/>
      <c r="R162" s="65"/>
      <c r="S162" s="65"/>
      <c r="T162" s="65"/>
      <c r="U162" s="65"/>
      <c r="V162" s="65"/>
      <c r="W162" s="65"/>
      <c r="X162" s="65"/>
      <c r="Y162" s="65"/>
      <c r="Z162" s="66"/>
      <c r="AA162" s="66"/>
      <c r="AB162" s="66"/>
    </row>
    <row r="163" hidden="1" outlineLevel="1">
      <c r="A163" s="71">
        <v>46164.0</v>
      </c>
      <c r="B163" s="74">
        <v>0.1</v>
      </c>
      <c r="C163" s="75">
        <v>0.1</v>
      </c>
      <c r="D163" s="76">
        <v>0.05</v>
      </c>
      <c r="E163" s="77">
        <v>3.0</v>
      </c>
      <c r="F163" s="78">
        <v>1000.0</v>
      </c>
      <c r="G163" s="79">
        <f t="shared" si="55"/>
        <v>0</v>
      </c>
      <c r="H163" s="80">
        <f t="shared" si="56"/>
        <v>0</v>
      </c>
      <c r="I163" s="81">
        <f t="shared" si="57"/>
        <v>0</v>
      </c>
      <c r="J163" s="82"/>
      <c r="K163" s="83"/>
      <c r="L163" s="84">
        <f t="shared" si="58"/>
        <v>0</v>
      </c>
      <c r="M163" s="65"/>
      <c r="N163" s="65"/>
      <c r="O163" s="65"/>
      <c r="P163" s="65"/>
      <c r="Q163" s="65"/>
      <c r="R163" s="65"/>
      <c r="S163" s="65"/>
      <c r="T163" s="65"/>
      <c r="U163" s="65"/>
      <c r="V163" s="65"/>
      <c r="W163" s="65"/>
      <c r="X163" s="65"/>
      <c r="Y163" s="65"/>
      <c r="Z163" s="66"/>
      <c r="AA163" s="66"/>
      <c r="AB163" s="66"/>
    </row>
    <row r="164" hidden="1" outlineLevel="1">
      <c r="A164" s="71">
        <v>46165.0</v>
      </c>
      <c r="B164" s="74">
        <v>0.1</v>
      </c>
      <c r="C164" s="75">
        <v>0.1</v>
      </c>
      <c r="D164" s="76">
        <v>0.05</v>
      </c>
      <c r="E164" s="77">
        <v>3.0</v>
      </c>
      <c r="F164" s="78">
        <v>1000.0</v>
      </c>
      <c r="G164" s="79">
        <f t="shared" si="55"/>
        <v>0</v>
      </c>
      <c r="H164" s="80">
        <f t="shared" si="56"/>
        <v>0</v>
      </c>
      <c r="I164" s="81">
        <f t="shared" si="57"/>
        <v>0</v>
      </c>
      <c r="J164" s="82"/>
      <c r="K164" s="83"/>
      <c r="L164" s="84">
        <f t="shared" si="58"/>
        <v>0</v>
      </c>
      <c r="M164" s="65"/>
      <c r="N164" s="65"/>
      <c r="O164" s="65"/>
      <c r="P164" s="65"/>
      <c r="Q164" s="65"/>
      <c r="R164" s="65"/>
      <c r="S164" s="65"/>
      <c r="T164" s="65"/>
      <c r="U164" s="65"/>
      <c r="V164" s="65"/>
      <c r="W164" s="65"/>
      <c r="X164" s="65"/>
      <c r="Y164" s="65"/>
      <c r="Z164" s="66"/>
      <c r="AA164" s="66"/>
      <c r="AB164" s="66"/>
    </row>
    <row r="165" hidden="1" outlineLevel="1">
      <c r="A165" s="71">
        <v>46166.0</v>
      </c>
      <c r="B165" s="74">
        <v>0.1</v>
      </c>
      <c r="C165" s="75">
        <v>0.1</v>
      </c>
      <c r="D165" s="76">
        <v>0.05</v>
      </c>
      <c r="E165" s="77">
        <v>3.0</v>
      </c>
      <c r="F165" s="78">
        <v>1000.0</v>
      </c>
      <c r="G165" s="79">
        <f t="shared" si="55"/>
        <v>0</v>
      </c>
      <c r="H165" s="80">
        <f t="shared" si="56"/>
        <v>0</v>
      </c>
      <c r="I165" s="81">
        <f t="shared" si="57"/>
        <v>0</v>
      </c>
      <c r="J165" s="82"/>
      <c r="K165" s="83"/>
      <c r="L165" s="84">
        <f t="shared" si="58"/>
        <v>0</v>
      </c>
      <c r="M165" s="65"/>
      <c r="N165" s="65"/>
      <c r="O165" s="65"/>
      <c r="P165" s="65"/>
      <c r="Q165" s="65"/>
      <c r="R165" s="65"/>
      <c r="S165" s="65"/>
      <c r="T165" s="65"/>
      <c r="U165" s="65"/>
      <c r="V165" s="65"/>
      <c r="W165" s="65"/>
      <c r="X165" s="65"/>
      <c r="Y165" s="65"/>
      <c r="Z165" s="66"/>
      <c r="AA165" s="66"/>
      <c r="AB165" s="66"/>
    </row>
    <row r="166" hidden="1" outlineLevel="1">
      <c r="A166" s="71">
        <v>46167.0</v>
      </c>
      <c r="B166" s="74">
        <v>0.1</v>
      </c>
      <c r="C166" s="75">
        <v>0.1</v>
      </c>
      <c r="D166" s="76">
        <v>0.05</v>
      </c>
      <c r="E166" s="77">
        <v>3.0</v>
      </c>
      <c r="F166" s="78">
        <v>1000.0</v>
      </c>
      <c r="G166" s="79">
        <f t="shared" si="55"/>
        <v>0</v>
      </c>
      <c r="H166" s="80">
        <f t="shared" si="56"/>
        <v>0</v>
      </c>
      <c r="I166" s="81">
        <f t="shared" si="57"/>
        <v>0</v>
      </c>
      <c r="J166" s="82"/>
      <c r="K166" s="83"/>
      <c r="L166" s="84">
        <f t="shared" si="58"/>
        <v>0</v>
      </c>
      <c r="M166" s="65"/>
      <c r="N166" s="65"/>
      <c r="O166" s="65"/>
      <c r="P166" s="65"/>
      <c r="Q166" s="65"/>
      <c r="R166" s="65"/>
      <c r="S166" s="65"/>
      <c r="T166" s="65"/>
      <c r="U166" s="65"/>
      <c r="V166" s="65"/>
      <c r="W166" s="65"/>
      <c r="X166" s="65"/>
      <c r="Y166" s="65"/>
      <c r="Z166" s="66"/>
      <c r="AA166" s="66"/>
      <c r="AB166" s="66"/>
    </row>
    <row r="167" hidden="1" outlineLevel="1">
      <c r="A167" s="71">
        <v>46168.0</v>
      </c>
      <c r="B167" s="74">
        <v>0.1</v>
      </c>
      <c r="C167" s="75">
        <v>0.1</v>
      </c>
      <c r="D167" s="76">
        <v>0.05</v>
      </c>
      <c r="E167" s="77">
        <v>3.0</v>
      </c>
      <c r="F167" s="78">
        <v>1000.0</v>
      </c>
      <c r="G167" s="79">
        <f t="shared" si="55"/>
        <v>0</v>
      </c>
      <c r="H167" s="80">
        <f t="shared" si="56"/>
        <v>0</v>
      </c>
      <c r="I167" s="81">
        <f t="shared" si="57"/>
        <v>0</v>
      </c>
      <c r="J167" s="82"/>
      <c r="K167" s="83"/>
      <c r="L167" s="84">
        <f t="shared" si="58"/>
        <v>0</v>
      </c>
      <c r="M167" s="65"/>
      <c r="N167" s="65"/>
      <c r="O167" s="65"/>
      <c r="P167" s="65"/>
      <c r="Q167" s="65"/>
      <c r="R167" s="65"/>
      <c r="S167" s="65"/>
      <c r="T167" s="65"/>
      <c r="U167" s="65"/>
      <c r="V167" s="65"/>
      <c r="W167" s="65"/>
      <c r="X167" s="65"/>
      <c r="Y167" s="65"/>
      <c r="Z167" s="66"/>
      <c r="AA167" s="66"/>
      <c r="AB167" s="66"/>
    </row>
    <row r="168" hidden="1" outlineLevel="1">
      <c r="A168" s="71">
        <v>46169.0</v>
      </c>
      <c r="B168" s="74">
        <v>0.1</v>
      </c>
      <c r="C168" s="75">
        <v>0.1</v>
      </c>
      <c r="D168" s="76">
        <v>0.05</v>
      </c>
      <c r="E168" s="77">
        <v>3.0</v>
      </c>
      <c r="F168" s="78">
        <v>1000.0</v>
      </c>
      <c r="G168" s="79">
        <f t="shared" si="55"/>
        <v>0</v>
      </c>
      <c r="H168" s="80">
        <f t="shared" si="56"/>
        <v>0</v>
      </c>
      <c r="I168" s="81">
        <f t="shared" si="57"/>
        <v>0</v>
      </c>
      <c r="J168" s="82"/>
      <c r="K168" s="83"/>
      <c r="L168" s="84">
        <f t="shared" si="58"/>
        <v>0</v>
      </c>
      <c r="M168" s="65"/>
      <c r="N168" s="65"/>
      <c r="O168" s="65"/>
      <c r="P168" s="65"/>
      <c r="Q168" s="65"/>
      <c r="R168" s="65"/>
      <c r="S168" s="65"/>
      <c r="T168" s="65"/>
      <c r="U168" s="65"/>
      <c r="V168" s="65"/>
      <c r="W168" s="65"/>
      <c r="X168" s="65"/>
      <c r="Y168" s="65"/>
      <c r="Z168" s="66"/>
      <c r="AA168" s="66"/>
      <c r="AB168" s="66"/>
    </row>
    <row r="169" hidden="1" outlineLevel="1">
      <c r="A169" s="71">
        <v>46170.0</v>
      </c>
      <c r="B169" s="74">
        <v>0.1</v>
      </c>
      <c r="C169" s="75">
        <v>0.1</v>
      </c>
      <c r="D169" s="76">
        <v>0.05</v>
      </c>
      <c r="E169" s="77">
        <v>3.0</v>
      </c>
      <c r="F169" s="78">
        <v>1000.0</v>
      </c>
      <c r="G169" s="79">
        <f t="shared" si="55"/>
        <v>0</v>
      </c>
      <c r="H169" s="80">
        <f t="shared" si="56"/>
        <v>0</v>
      </c>
      <c r="I169" s="81">
        <f t="shared" si="57"/>
        <v>0</v>
      </c>
      <c r="J169" s="82"/>
      <c r="K169" s="83"/>
      <c r="L169" s="84">
        <f t="shared" si="58"/>
        <v>0</v>
      </c>
      <c r="M169" s="65"/>
      <c r="N169" s="65"/>
      <c r="O169" s="65"/>
      <c r="P169" s="65"/>
      <c r="Q169" s="65"/>
      <c r="R169" s="65"/>
      <c r="S169" s="65"/>
      <c r="T169" s="65"/>
      <c r="U169" s="65"/>
      <c r="V169" s="65"/>
      <c r="W169" s="65"/>
      <c r="X169" s="65"/>
      <c r="Y169" s="65"/>
      <c r="Z169" s="66"/>
      <c r="AA169" s="66"/>
      <c r="AB169" s="66"/>
    </row>
    <row r="170" hidden="1" outlineLevel="1">
      <c r="A170" s="71">
        <v>46171.0</v>
      </c>
      <c r="B170" s="74">
        <v>0.1</v>
      </c>
      <c r="C170" s="75">
        <v>0.1</v>
      </c>
      <c r="D170" s="76">
        <v>0.05</v>
      </c>
      <c r="E170" s="77">
        <v>3.0</v>
      </c>
      <c r="F170" s="78">
        <v>1000.0</v>
      </c>
      <c r="G170" s="79">
        <f t="shared" si="55"/>
        <v>0</v>
      </c>
      <c r="H170" s="80">
        <f t="shared" si="56"/>
        <v>0</v>
      </c>
      <c r="I170" s="81">
        <f t="shared" si="57"/>
        <v>0</v>
      </c>
      <c r="J170" s="82"/>
      <c r="K170" s="83"/>
      <c r="L170" s="84">
        <f t="shared" si="58"/>
        <v>0</v>
      </c>
      <c r="M170" s="65"/>
      <c r="N170" s="65"/>
      <c r="O170" s="65"/>
      <c r="P170" s="65"/>
      <c r="Q170" s="65"/>
      <c r="R170" s="65"/>
      <c r="S170" s="65"/>
      <c r="T170" s="65"/>
      <c r="U170" s="65"/>
      <c r="V170" s="65"/>
      <c r="W170" s="65"/>
      <c r="X170" s="65"/>
      <c r="Y170" s="65"/>
      <c r="Z170" s="66"/>
      <c r="AA170" s="66"/>
      <c r="AB170" s="66"/>
    </row>
    <row r="171" hidden="1" outlineLevel="1">
      <c r="A171" s="71">
        <v>46172.0</v>
      </c>
      <c r="B171" s="74">
        <v>0.1</v>
      </c>
      <c r="C171" s="75">
        <v>0.1</v>
      </c>
      <c r="D171" s="76">
        <v>0.05</v>
      </c>
      <c r="E171" s="77">
        <v>3.0</v>
      </c>
      <c r="F171" s="78">
        <v>1000.0</v>
      </c>
      <c r="G171" s="79">
        <f t="shared" si="55"/>
        <v>0</v>
      </c>
      <c r="H171" s="80">
        <f t="shared" si="56"/>
        <v>0</v>
      </c>
      <c r="I171" s="81">
        <f t="shared" si="57"/>
        <v>0</v>
      </c>
      <c r="J171" s="82"/>
      <c r="K171" s="83"/>
      <c r="L171" s="84">
        <f t="shared" si="58"/>
        <v>0</v>
      </c>
      <c r="M171" s="65"/>
      <c r="N171" s="65"/>
      <c r="O171" s="65"/>
      <c r="P171" s="65"/>
      <c r="Q171" s="65"/>
      <c r="R171" s="65"/>
      <c r="S171" s="65"/>
      <c r="T171" s="65"/>
      <c r="U171" s="65"/>
      <c r="V171" s="65"/>
      <c r="W171" s="65"/>
      <c r="X171" s="65"/>
      <c r="Y171" s="65"/>
      <c r="Z171" s="66"/>
      <c r="AA171" s="66"/>
      <c r="AB171" s="66"/>
    </row>
    <row r="172" hidden="1" outlineLevel="1">
      <c r="A172" s="71">
        <v>46173.0</v>
      </c>
      <c r="B172" s="74">
        <v>0.1</v>
      </c>
      <c r="C172" s="75">
        <v>0.1</v>
      </c>
      <c r="D172" s="76">
        <v>0.05</v>
      </c>
      <c r="E172" s="77">
        <v>3.0</v>
      </c>
      <c r="F172" s="78">
        <v>1000.0</v>
      </c>
      <c r="G172" s="79">
        <f t="shared" si="55"/>
        <v>0</v>
      </c>
      <c r="H172" s="80">
        <f t="shared" si="56"/>
        <v>0</v>
      </c>
      <c r="I172" s="81">
        <f t="shared" si="57"/>
        <v>0</v>
      </c>
      <c r="J172" s="82"/>
      <c r="K172" s="83"/>
      <c r="L172" s="84">
        <f t="shared" si="58"/>
        <v>0</v>
      </c>
      <c r="M172" s="65"/>
      <c r="N172" s="65"/>
      <c r="O172" s="65"/>
      <c r="P172" s="65"/>
      <c r="Q172" s="65"/>
      <c r="R172" s="65"/>
      <c r="S172" s="65"/>
      <c r="T172" s="65"/>
      <c r="U172" s="65"/>
      <c r="V172" s="65"/>
      <c r="W172" s="65"/>
      <c r="X172" s="65"/>
      <c r="Y172" s="65"/>
      <c r="Z172" s="66"/>
      <c r="AA172" s="66"/>
      <c r="AB172" s="66"/>
    </row>
    <row r="173" hidden="1" outlineLevel="1">
      <c r="A173" s="85" t="s">
        <v>41</v>
      </c>
      <c r="C173" s="86">
        <f>SUM(C142:C172)</f>
        <v>3.1</v>
      </c>
      <c r="D173" s="87"/>
      <c r="E173" s="87"/>
      <c r="F173" s="87"/>
      <c r="G173" s="87"/>
      <c r="H173" s="87"/>
      <c r="I173" s="88">
        <f t="shared" ref="I173:K173" si="59">SUM(I142:I172)</f>
        <v>0</v>
      </c>
      <c r="J173" s="89">
        <f t="shared" si="59"/>
        <v>0</v>
      </c>
      <c r="K173" s="87">
        <f t="shared" si="59"/>
        <v>0</v>
      </c>
      <c r="L173" s="89">
        <f>L172</f>
        <v>0</v>
      </c>
      <c r="M173" s="65"/>
      <c r="N173" s="65"/>
      <c r="O173" s="65"/>
      <c r="P173" s="65"/>
      <c r="Q173" s="65"/>
      <c r="R173" s="65"/>
      <c r="S173" s="65"/>
      <c r="T173" s="65"/>
      <c r="U173" s="65"/>
      <c r="V173" s="65"/>
      <c r="W173" s="65"/>
      <c r="X173" s="65"/>
      <c r="Y173" s="65"/>
      <c r="Z173" s="66"/>
      <c r="AA173" s="66"/>
      <c r="AB173" s="66"/>
    </row>
    <row r="174">
      <c r="A174" s="95"/>
      <c r="B174" s="92"/>
      <c r="C174" s="92"/>
      <c r="D174" s="92"/>
      <c r="E174" s="92"/>
      <c r="F174" s="92"/>
      <c r="G174" s="92"/>
      <c r="H174" s="92"/>
      <c r="I174" s="92"/>
      <c r="J174" s="92"/>
      <c r="K174" s="94">
        <f>SUM(K142:K172)</f>
        <v>0</v>
      </c>
      <c r="L174" s="92"/>
      <c r="M174" s="65"/>
      <c r="N174" s="65"/>
      <c r="O174" s="65"/>
      <c r="P174" s="65"/>
      <c r="Q174" s="65"/>
      <c r="R174" s="65"/>
      <c r="S174" s="65"/>
      <c r="T174" s="65"/>
      <c r="U174" s="65"/>
      <c r="V174" s="65"/>
      <c r="W174" s="65"/>
      <c r="X174" s="65"/>
      <c r="Y174" s="65"/>
      <c r="Z174" s="66"/>
      <c r="AA174" s="66"/>
      <c r="AB174" s="66"/>
    </row>
    <row r="175" collapsed="1">
      <c r="A175" s="57" t="s">
        <v>47</v>
      </c>
      <c r="M175" s="65"/>
      <c r="N175" s="65"/>
      <c r="O175" s="65"/>
      <c r="P175" s="65"/>
      <c r="Q175" s="65"/>
      <c r="R175" s="65"/>
      <c r="S175" s="65"/>
      <c r="T175" s="65"/>
      <c r="U175" s="65"/>
      <c r="V175" s="65"/>
      <c r="W175" s="65"/>
      <c r="X175" s="65"/>
      <c r="Y175" s="65"/>
      <c r="Z175" s="66"/>
      <c r="AA175" s="66"/>
      <c r="AB175" s="66"/>
    </row>
    <row r="176" hidden="1" outlineLevel="1">
      <c r="A176" s="71" t="s">
        <v>29</v>
      </c>
      <c r="B176" s="57" t="s">
        <v>30</v>
      </c>
      <c r="C176" s="57" t="s">
        <v>31</v>
      </c>
      <c r="D176" s="72" t="s">
        <v>32</v>
      </c>
      <c r="E176" s="72" t="s">
        <v>33</v>
      </c>
      <c r="F176" s="72" t="s">
        <v>34</v>
      </c>
      <c r="G176" s="73" t="s">
        <v>35</v>
      </c>
      <c r="H176" s="72" t="s">
        <v>36</v>
      </c>
      <c r="I176" s="57" t="s">
        <v>37</v>
      </c>
      <c r="J176" s="74" t="s">
        <v>38</v>
      </c>
      <c r="K176" s="57" t="s">
        <v>39</v>
      </c>
      <c r="L176" s="57" t="s">
        <v>40</v>
      </c>
      <c r="M176" s="65"/>
      <c r="N176" s="65"/>
      <c r="O176" s="65"/>
      <c r="P176" s="65"/>
      <c r="Q176" s="65"/>
      <c r="R176" s="65"/>
      <c r="S176" s="65"/>
      <c r="T176" s="65"/>
      <c r="U176" s="65"/>
      <c r="V176" s="65"/>
      <c r="W176" s="65"/>
      <c r="X176" s="65"/>
      <c r="Y176" s="65"/>
      <c r="Z176" s="66"/>
      <c r="AA176" s="66"/>
      <c r="AB176" s="66"/>
    </row>
    <row r="177" hidden="1" outlineLevel="1">
      <c r="A177" s="71">
        <v>46174.0</v>
      </c>
      <c r="B177" s="74">
        <v>0.1</v>
      </c>
      <c r="C177" s="75">
        <v>0.1</v>
      </c>
      <c r="D177" s="76">
        <v>0.05</v>
      </c>
      <c r="E177" s="77">
        <v>3.0</v>
      </c>
      <c r="F177" s="78">
        <v>1000.0</v>
      </c>
      <c r="G177" s="79">
        <f>L173*C177</f>
        <v>0</v>
      </c>
      <c r="H177" s="80">
        <f>L173*D177</f>
        <v>0</v>
      </c>
      <c r="I177" s="81">
        <f>(J177/L173)*100</f>
        <v>0</v>
      </c>
      <c r="J177" s="82"/>
      <c r="K177" s="83"/>
      <c r="L177" s="84">
        <f>(L173+J177)-K177</f>
        <v>0</v>
      </c>
      <c r="M177" s="65"/>
      <c r="N177" s="65"/>
      <c r="O177" s="65"/>
      <c r="P177" s="65"/>
      <c r="Q177" s="65"/>
      <c r="R177" s="65"/>
      <c r="S177" s="65"/>
      <c r="T177" s="65"/>
      <c r="U177" s="65"/>
      <c r="V177" s="65"/>
      <c r="W177" s="65"/>
      <c r="X177" s="65"/>
      <c r="Y177" s="65"/>
      <c r="Z177" s="66"/>
      <c r="AA177" s="66"/>
      <c r="AB177" s="66"/>
    </row>
    <row r="178" hidden="1" outlineLevel="1">
      <c r="A178" s="71">
        <v>46175.0</v>
      </c>
      <c r="B178" s="74">
        <v>0.1</v>
      </c>
      <c r="C178" s="75">
        <v>0.1</v>
      </c>
      <c r="D178" s="76">
        <v>0.05</v>
      </c>
      <c r="E178" s="77">
        <v>3.0</v>
      </c>
      <c r="F178" s="78">
        <v>1000.0</v>
      </c>
      <c r="G178" s="79">
        <f t="shared" ref="G178:G206" si="60">L177*C178</f>
        <v>0</v>
      </c>
      <c r="H178" s="80">
        <f t="shared" ref="H178:H206" si="61">L177*D178</f>
        <v>0</v>
      </c>
      <c r="I178" s="81">
        <f t="shared" ref="I178:I206" si="62">(J178/L177)*100</f>
        <v>0</v>
      </c>
      <c r="J178" s="82"/>
      <c r="K178" s="83"/>
      <c r="L178" s="84">
        <f t="shared" ref="L178:L206" si="63">(L177+J178)-K178</f>
        <v>0</v>
      </c>
      <c r="M178" s="65"/>
      <c r="N178" s="65"/>
      <c r="O178" s="65"/>
      <c r="P178" s="65"/>
      <c r="Q178" s="65"/>
      <c r="R178" s="65"/>
      <c r="S178" s="65"/>
      <c r="T178" s="65"/>
      <c r="U178" s="65"/>
      <c r="V178" s="65"/>
      <c r="W178" s="65"/>
      <c r="X178" s="65"/>
      <c r="Y178" s="65"/>
      <c r="Z178" s="66"/>
      <c r="AA178" s="66"/>
      <c r="AB178" s="66"/>
    </row>
    <row r="179" hidden="1" outlineLevel="1">
      <c r="A179" s="71">
        <v>46176.0</v>
      </c>
      <c r="B179" s="74">
        <v>0.1</v>
      </c>
      <c r="C179" s="75">
        <v>0.1</v>
      </c>
      <c r="D179" s="76">
        <v>0.05</v>
      </c>
      <c r="E179" s="77">
        <v>3.0</v>
      </c>
      <c r="F179" s="78">
        <v>1000.0</v>
      </c>
      <c r="G179" s="79">
        <f t="shared" si="60"/>
        <v>0</v>
      </c>
      <c r="H179" s="80">
        <f t="shared" si="61"/>
        <v>0</v>
      </c>
      <c r="I179" s="81">
        <f t="shared" si="62"/>
        <v>0</v>
      </c>
      <c r="J179" s="82"/>
      <c r="K179" s="83"/>
      <c r="L179" s="84">
        <f t="shared" si="63"/>
        <v>0</v>
      </c>
      <c r="M179" s="65"/>
      <c r="N179" s="65"/>
      <c r="O179" s="65"/>
      <c r="P179" s="65"/>
      <c r="Q179" s="65"/>
      <c r="R179" s="65"/>
      <c r="S179" s="65"/>
      <c r="T179" s="65"/>
      <c r="U179" s="65"/>
      <c r="V179" s="65"/>
      <c r="W179" s="65"/>
      <c r="X179" s="65"/>
      <c r="Y179" s="65"/>
      <c r="Z179" s="66"/>
      <c r="AA179" s="66"/>
      <c r="AB179" s="66"/>
    </row>
    <row r="180" hidden="1" outlineLevel="1">
      <c r="A180" s="71">
        <v>46177.0</v>
      </c>
      <c r="B180" s="74">
        <v>0.1</v>
      </c>
      <c r="C180" s="75">
        <v>0.1</v>
      </c>
      <c r="D180" s="76">
        <v>0.05</v>
      </c>
      <c r="E180" s="77">
        <v>3.0</v>
      </c>
      <c r="F180" s="78">
        <v>1000.0</v>
      </c>
      <c r="G180" s="79">
        <f t="shared" si="60"/>
        <v>0</v>
      </c>
      <c r="H180" s="80">
        <f t="shared" si="61"/>
        <v>0</v>
      </c>
      <c r="I180" s="81">
        <f t="shared" si="62"/>
        <v>0</v>
      </c>
      <c r="J180" s="82"/>
      <c r="K180" s="83"/>
      <c r="L180" s="84">
        <f t="shared" si="63"/>
        <v>0</v>
      </c>
      <c r="M180" s="65"/>
      <c r="N180" s="65"/>
      <c r="O180" s="65"/>
      <c r="P180" s="65"/>
      <c r="Q180" s="65"/>
      <c r="R180" s="65"/>
      <c r="S180" s="65"/>
      <c r="T180" s="65"/>
      <c r="U180" s="65"/>
      <c r="V180" s="65"/>
      <c r="W180" s="65"/>
      <c r="X180" s="65"/>
      <c r="Y180" s="65"/>
      <c r="Z180" s="66"/>
      <c r="AA180" s="66"/>
      <c r="AB180" s="66"/>
    </row>
    <row r="181" hidden="1" outlineLevel="1">
      <c r="A181" s="71">
        <v>46178.0</v>
      </c>
      <c r="B181" s="74">
        <v>0.1</v>
      </c>
      <c r="C181" s="75">
        <v>0.1</v>
      </c>
      <c r="D181" s="76">
        <v>0.05</v>
      </c>
      <c r="E181" s="77">
        <v>3.0</v>
      </c>
      <c r="F181" s="78">
        <v>1000.0</v>
      </c>
      <c r="G181" s="79">
        <f t="shared" si="60"/>
        <v>0</v>
      </c>
      <c r="H181" s="80">
        <f t="shared" si="61"/>
        <v>0</v>
      </c>
      <c r="I181" s="81">
        <f t="shared" si="62"/>
        <v>0</v>
      </c>
      <c r="J181" s="82"/>
      <c r="K181" s="83"/>
      <c r="L181" s="84">
        <f t="shared" si="63"/>
        <v>0</v>
      </c>
      <c r="M181" s="65"/>
      <c r="N181" s="65"/>
      <c r="O181" s="65"/>
      <c r="P181" s="65"/>
      <c r="Q181" s="65"/>
      <c r="R181" s="65"/>
      <c r="S181" s="65"/>
      <c r="T181" s="65"/>
      <c r="U181" s="65"/>
      <c r="V181" s="65"/>
      <c r="W181" s="65"/>
      <c r="X181" s="65"/>
      <c r="Y181" s="65"/>
      <c r="Z181" s="66"/>
      <c r="AA181" s="66"/>
      <c r="AB181" s="66"/>
    </row>
    <row r="182" hidden="1" outlineLevel="1">
      <c r="A182" s="71">
        <v>46179.0</v>
      </c>
      <c r="B182" s="74">
        <v>0.1</v>
      </c>
      <c r="C182" s="75">
        <v>0.1</v>
      </c>
      <c r="D182" s="76">
        <v>0.05</v>
      </c>
      <c r="E182" s="77">
        <v>3.0</v>
      </c>
      <c r="F182" s="78">
        <v>1000.0</v>
      </c>
      <c r="G182" s="79">
        <f t="shared" si="60"/>
        <v>0</v>
      </c>
      <c r="H182" s="80">
        <f t="shared" si="61"/>
        <v>0</v>
      </c>
      <c r="I182" s="81">
        <f t="shared" si="62"/>
        <v>0</v>
      </c>
      <c r="J182" s="82"/>
      <c r="K182" s="83"/>
      <c r="L182" s="84">
        <f t="shared" si="63"/>
        <v>0</v>
      </c>
      <c r="M182" s="65"/>
      <c r="N182" s="65"/>
      <c r="O182" s="65"/>
      <c r="P182" s="65"/>
      <c r="Q182" s="65"/>
      <c r="R182" s="65"/>
      <c r="S182" s="65"/>
      <c r="T182" s="65"/>
      <c r="U182" s="65"/>
      <c r="V182" s="65"/>
      <c r="W182" s="65"/>
      <c r="X182" s="65"/>
      <c r="Y182" s="65"/>
      <c r="Z182" s="66"/>
      <c r="AA182" s="66"/>
      <c r="AB182" s="66"/>
    </row>
    <row r="183" hidden="1" outlineLevel="1">
      <c r="A183" s="71">
        <v>46180.0</v>
      </c>
      <c r="B183" s="74">
        <v>0.1</v>
      </c>
      <c r="C183" s="75">
        <v>0.1</v>
      </c>
      <c r="D183" s="76">
        <v>0.05</v>
      </c>
      <c r="E183" s="77">
        <v>3.0</v>
      </c>
      <c r="F183" s="78">
        <v>1000.0</v>
      </c>
      <c r="G183" s="79">
        <f t="shared" si="60"/>
        <v>0</v>
      </c>
      <c r="H183" s="80">
        <f t="shared" si="61"/>
        <v>0</v>
      </c>
      <c r="I183" s="81">
        <f t="shared" si="62"/>
        <v>0</v>
      </c>
      <c r="J183" s="82"/>
      <c r="K183" s="83"/>
      <c r="L183" s="84">
        <f t="shared" si="63"/>
        <v>0</v>
      </c>
      <c r="M183" s="65"/>
      <c r="N183" s="65"/>
      <c r="O183" s="65"/>
      <c r="P183" s="65"/>
      <c r="Q183" s="65"/>
      <c r="R183" s="65"/>
      <c r="S183" s="65"/>
      <c r="T183" s="65"/>
      <c r="U183" s="65"/>
      <c r="V183" s="65"/>
      <c r="W183" s="65"/>
      <c r="X183" s="65"/>
      <c r="Y183" s="65"/>
      <c r="Z183" s="66"/>
      <c r="AA183" s="66"/>
      <c r="AB183" s="66"/>
    </row>
    <row r="184" hidden="1" outlineLevel="1">
      <c r="A184" s="71">
        <v>46181.0</v>
      </c>
      <c r="B184" s="74">
        <v>0.1</v>
      </c>
      <c r="C184" s="75">
        <v>0.1</v>
      </c>
      <c r="D184" s="76">
        <v>0.05</v>
      </c>
      <c r="E184" s="77">
        <v>3.0</v>
      </c>
      <c r="F184" s="78">
        <v>1000.0</v>
      </c>
      <c r="G184" s="79">
        <f t="shared" si="60"/>
        <v>0</v>
      </c>
      <c r="H184" s="80">
        <f t="shared" si="61"/>
        <v>0</v>
      </c>
      <c r="I184" s="81">
        <f t="shared" si="62"/>
        <v>0</v>
      </c>
      <c r="J184" s="82"/>
      <c r="K184" s="83"/>
      <c r="L184" s="84">
        <f t="shared" si="63"/>
        <v>0</v>
      </c>
      <c r="M184" s="65"/>
      <c r="N184" s="65"/>
      <c r="O184" s="65"/>
      <c r="P184" s="65"/>
      <c r="Q184" s="65"/>
      <c r="R184" s="65"/>
      <c r="S184" s="65"/>
      <c r="T184" s="65"/>
      <c r="U184" s="65"/>
      <c r="V184" s="65"/>
      <c r="W184" s="65"/>
      <c r="X184" s="65"/>
      <c r="Y184" s="65"/>
      <c r="Z184" s="66"/>
      <c r="AA184" s="66"/>
      <c r="AB184" s="66"/>
    </row>
    <row r="185" hidden="1" outlineLevel="1">
      <c r="A185" s="71">
        <v>46182.0</v>
      </c>
      <c r="B185" s="74">
        <v>0.1</v>
      </c>
      <c r="C185" s="75">
        <v>0.1</v>
      </c>
      <c r="D185" s="76">
        <v>0.05</v>
      </c>
      <c r="E185" s="77">
        <v>3.0</v>
      </c>
      <c r="F185" s="78">
        <v>1000.0</v>
      </c>
      <c r="G185" s="79">
        <f t="shared" si="60"/>
        <v>0</v>
      </c>
      <c r="H185" s="80">
        <f t="shared" si="61"/>
        <v>0</v>
      </c>
      <c r="I185" s="81">
        <f t="shared" si="62"/>
        <v>0</v>
      </c>
      <c r="J185" s="82"/>
      <c r="K185" s="83"/>
      <c r="L185" s="84">
        <f t="shared" si="63"/>
        <v>0</v>
      </c>
      <c r="M185" s="65"/>
      <c r="N185" s="65"/>
      <c r="O185" s="65"/>
      <c r="P185" s="65"/>
      <c r="Q185" s="65"/>
      <c r="R185" s="65"/>
      <c r="S185" s="65"/>
      <c r="T185" s="65"/>
      <c r="U185" s="65"/>
      <c r="V185" s="65"/>
      <c r="W185" s="65"/>
      <c r="X185" s="65"/>
      <c r="Y185" s="65"/>
      <c r="Z185" s="66"/>
      <c r="AA185" s="66"/>
      <c r="AB185" s="66"/>
    </row>
    <row r="186" hidden="1" outlineLevel="1">
      <c r="A186" s="71">
        <v>46183.0</v>
      </c>
      <c r="B186" s="74">
        <v>0.1</v>
      </c>
      <c r="C186" s="75">
        <v>0.1</v>
      </c>
      <c r="D186" s="76">
        <v>0.05</v>
      </c>
      <c r="E186" s="77">
        <v>3.0</v>
      </c>
      <c r="F186" s="78">
        <v>1000.0</v>
      </c>
      <c r="G186" s="79">
        <f t="shared" si="60"/>
        <v>0</v>
      </c>
      <c r="H186" s="80">
        <f t="shared" si="61"/>
        <v>0</v>
      </c>
      <c r="I186" s="81">
        <f t="shared" si="62"/>
        <v>0</v>
      </c>
      <c r="J186" s="82"/>
      <c r="K186" s="83"/>
      <c r="L186" s="84">
        <f t="shared" si="63"/>
        <v>0</v>
      </c>
      <c r="M186" s="65"/>
      <c r="N186" s="65"/>
      <c r="O186" s="65"/>
      <c r="P186" s="65"/>
      <c r="Q186" s="65"/>
      <c r="R186" s="65"/>
      <c r="S186" s="65"/>
      <c r="T186" s="65"/>
      <c r="U186" s="65"/>
      <c r="V186" s="65"/>
      <c r="W186" s="65"/>
      <c r="X186" s="65"/>
      <c r="Y186" s="65"/>
      <c r="Z186" s="66"/>
      <c r="AA186" s="66"/>
      <c r="AB186" s="66"/>
    </row>
    <row r="187" hidden="1" outlineLevel="1">
      <c r="A187" s="71">
        <v>46184.0</v>
      </c>
      <c r="B187" s="74">
        <v>0.1</v>
      </c>
      <c r="C187" s="75">
        <v>0.1</v>
      </c>
      <c r="D187" s="76">
        <v>0.05</v>
      </c>
      <c r="E187" s="77">
        <v>3.0</v>
      </c>
      <c r="F187" s="78">
        <v>1000.0</v>
      </c>
      <c r="G187" s="79">
        <f t="shared" si="60"/>
        <v>0</v>
      </c>
      <c r="H187" s="80">
        <f t="shared" si="61"/>
        <v>0</v>
      </c>
      <c r="I187" s="81">
        <f t="shared" si="62"/>
        <v>0</v>
      </c>
      <c r="J187" s="82"/>
      <c r="K187" s="83"/>
      <c r="L187" s="84">
        <f t="shared" si="63"/>
        <v>0</v>
      </c>
      <c r="M187" s="65"/>
      <c r="N187" s="65"/>
      <c r="O187" s="65"/>
      <c r="P187" s="65"/>
      <c r="Q187" s="65"/>
      <c r="R187" s="65"/>
      <c r="S187" s="65"/>
      <c r="T187" s="65"/>
      <c r="U187" s="65"/>
      <c r="V187" s="65"/>
      <c r="W187" s="65"/>
      <c r="X187" s="65"/>
      <c r="Y187" s="65"/>
      <c r="Z187" s="66"/>
      <c r="AA187" s="66"/>
      <c r="AB187" s="66"/>
    </row>
    <row r="188" hidden="1" outlineLevel="1">
      <c r="A188" s="71">
        <v>46185.0</v>
      </c>
      <c r="B188" s="74">
        <v>0.1</v>
      </c>
      <c r="C188" s="75">
        <v>0.1</v>
      </c>
      <c r="D188" s="76">
        <v>0.05</v>
      </c>
      <c r="E188" s="77">
        <v>3.0</v>
      </c>
      <c r="F188" s="78">
        <v>1000.0</v>
      </c>
      <c r="G188" s="79">
        <f t="shared" si="60"/>
        <v>0</v>
      </c>
      <c r="H188" s="80">
        <f t="shared" si="61"/>
        <v>0</v>
      </c>
      <c r="I188" s="81">
        <f t="shared" si="62"/>
        <v>0</v>
      </c>
      <c r="J188" s="82"/>
      <c r="K188" s="83"/>
      <c r="L188" s="84">
        <f t="shared" si="63"/>
        <v>0</v>
      </c>
      <c r="M188" s="65"/>
      <c r="N188" s="65"/>
      <c r="O188" s="65"/>
      <c r="P188" s="65"/>
      <c r="Q188" s="65"/>
      <c r="R188" s="65"/>
      <c r="S188" s="65"/>
      <c r="T188" s="65"/>
      <c r="U188" s="65"/>
      <c r="V188" s="65"/>
      <c r="W188" s="65"/>
      <c r="X188" s="65"/>
      <c r="Y188" s="65"/>
      <c r="Z188" s="66"/>
      <c r="AA188" s="66"/>
      <c r="AB188" s="66"/>
    </row>
    <row r="189" hidden="1" outlineLevel="1">
      <c r="A189" s="71">
        <v>46186.0</v>
      </c>
      <c r="B189" s="74">
        <v>0.1</v>
      </c>
      <c r="C189" s="75">
        <v>0.1</v>
      </c>
      <c r="D189" s="76">
        <v>0.05</v>
      </c>
      <c r="E189" s="77">
        <v>3.0</v>
      </c>
      <c r="F189" s="78">
        <v>1000.0</v>
      </c>
      <c r="G189" s="79">
        <f t="shared" si="60"/>
        <v>0</v>
      </c>
      <c r="H189" s="80">
        <f t="shared" si="61"/>
        <v>0</v>
      </c>
      <c r="I189" s="81">
        <f t="shared" si="62"/>
        <v>0</v>
      </c>
      <c r="J189" s="82"/>
      <c r="K189" s="83"/>
      <c r="L189" s="84">
        <f t="shared" si="63"/>
        <v>0</v>
      </c>
      <c r="M189" s="65"/>
      <c r="N189" s="65"/>
      <c r="O189" s="65"/>
      <c r="P189" s="65"/>
      <c r="Q189" s="65"/>
      <c r="R189" s="65"/>
      <c r="S189" s="65"/>
      <c r="T189" s="65"/>
      <c r="U189" s="65"/>
      <c r="V189" s="65"/>
      <c r="W189" s="65"/>
      <c r="X189" s="65"/>
      <c r="Y189" s="65"/>
      <c r="Z189" s="66"/>
      <c r="AA189" s="66"/>
      <c r="AB189" s="66"/>
    </row>
    <row r="190" hidden="1" outlineLevel="1">
      <c r="A190" s="71">
        <v>46187.0</v>
      </c>
      <c r="B190" s="74">
        <v>0.1</v>
      </c>
      <c r="C190" s="75">
        <v>0.1</v>
      </c>
      <c r="D190" s="76">
        <v>0.05</v>
      </c>
      <c r="E190" s="77">
        <v>3.0</v>
      </c>
      <c r="F190" s="78">
        <v>1000.0</v>
      </c>
      <c r="G190" s="79">
        <f t="shared" si="60"/>
        <v>0</v>
      </c>
      <c r="H190" s="80">
        <f t="shared" si="61"/>
        <v>0</v>
      </c>
      <c r="I190" s="81">
        <f t="shared" si="62"/>
        <v>0</v>
      </c>
      <c r="J190" s="82"/>
      <c r="K190" s="83"/>
      <c r="L190" s="84">
        <f t="shared" si="63"/>
        <v>0</v>
      </c>
      <c r="M190" s="65"/>
      <c r="N190" s="65"/>
      <c r="O190" s="65"/>
      <c r="P190" s="65"/>
      <c r="Q190" s="65"/>
      <c r="R190" s="65"/>
      <c r="S190" s="65"/>
      <c r="T190" s="65"/>
      <c r="U190" s="65"/>
      <c r="V190" s="65"/>
      <c r="W190" s="65"/>
      <c r="X190" s="65"/>
      <c r="Y190" s="65"/>
      <c r="Z190" s="66"/>
      <c r="AA190" s="66"/>
      <c r="AB190" s="66"/>
    </row>
    <row r="191" hidden="1" outlineLevel="1">
      <c r="A191" s="71">
        <v>46188.0</v>
      </c>
      <c r="B191" s="74">
        <v>0.1</v>
      </c>
      <c r="C191" s="75">
        <v>0.1</v>
      </c>
      <c r="D191" s="76">
        <v>0.05</v>
      </c>
      <c r="E191" s="77">
        <v>3.0</v>
      </c>
      <c r="F191" s="78">
        <v>1000.0</v>
      </c>
      <c r="G191" s="79">
        <f t="shared" si="60"/>
        <v>0</v>
      </c>
      <c r="H191" s="80">
        <f t="shared" si="61"/>
        <v>0</v>
      </c>
      <c r="I191" s="81">
        <f t="shared" si="62"/>
        <v>0</v>
      </c>
      <c r="J191" s="82"/>
      <c r="K191" s="83"/>
      <c r="L191" s="84">
        <f t="shared" si="63"/>
        <v>0</v>
      </c>
      <c r="M191" s="65"/>
      <c r="N191" s="65"/>
      <c r="O191" s="65"/>
      <c r="P191" s="65"/>
      <c r="Q191" s="65"/>
      <c r="R191" s="65"/>
      <c r="S191" s="65"/>
      <c r="T191" s="65"/>
      <c r="U191" s="65"/>
      <c r="V191" s="65"/>
      <c r="W191" s="65"/>
      <c r="X191" s="65"/>
      <c r="Y191" s="65"/>
      <c r="Z191" s="66"/>
      <c r="AA191" s="66"/>
      <c r="AB191" s="66"/>
    </row>
    <row r="192" hidden="1" outlineLevel="1">
      <c r="A192" s="71">
        <v>46189.0</v>
      </c>
      <c r="B192" s="74">
        <v>0.1</v>
      </c>
      <c r="C192" s="75">
        <v>0.1</v>
      </c>
      <c r="D192" s="76">
        <v>0.05</v>
      </c>
      <c r="E192" s="77">
        <v>3.0</v>
      </c>
      <c r="F192" s="78">
        <v>1000.0</v>
      </c>
      <c r="G192" s="79">
        <f t="shared" si="60"/>
        <v>0</v>
      </c>
      <c r="H192" s="80">
        <f t="shared" si="61"/>
        <v>0</v>
      </c>
      <c r="I192" s="81">
        <f t="shared" si="62"/>
        <v>0</v>
      </c>
      <c r="J192" s="82"/>
      <c r="K192" s="83"/>
      <c r="L192" s="84">
        <f t="shared" si="63"/>
        <v>0</v>
      </c>
      <c r="M192" s="65"/>
      <c r="N192" s="65"/>
      <c r="O192" s="65"/>
      <c r="P192" s="65"/>
      <c r="Q192" s="65"/>
      <c r="R192" s="65"/>
      <c r="S192" s="65"/>
      <c r="T192" s="65"/>
      <c r="U192" s="65"/>
      <c r="V192" s="65"/>
      <c r="W192" s="65"/>
      <c r="X192" s="65"/>
      <c r="Y192" s="65"/>
      <c r="Z192" s="66"/>
      <c r="AA192" s="66"/>
      <c r="AB192" s="66"/>
    </row>
    <row r="193" hidden="1" outlineLevel="1">
      <c r="A193" s="71">
        <v>46190.0</v>
      </c>
      <c r="B193" s="74">
        <v>0.1</v>
      </c>
      <c r="C193" s="75">
        <v>0.1</v>
      </c>
      <c r="D193" s="76">
        <v>0.05</v>
      </c>
      <c r="E193" s="77">
        <v>3.0</v>
      </c>
      <c r="F193" s="78">
        <v>1000.0</v>
      </c>
      <c r="G193" s="79">
        <f t="shared" si="60"/>
        <v>0</v>
      </c>
      <c r="H193" s="80">
        <f t="shared" si="61"/>
        <v>0</v>
      </c>
      <c r="I193" s="81">
        <f t="shared" si="62"/>
        <v>0</v>
      </c>
      <c r="J193" s="82"/>
      <c r="K193" s="83"/>
      <c r="L193" s="84">
        <f t="shared" si="63"/>
        <v>0</v>
      </c>
      <c r="M193" s="65"/>
      <c r="N193" s="65"/>
      <c r="O193" s="65"/>
      <c r="P193" s="65"/>
      <c r="Q193" s="65"/>
      <c r="R193" s="65"/>
      <c r="S193" s="65"/>
      <c r="T193" s="65"/>
      <c r="U193" s="65"/>
      <c r="V193" s="65"/>
      <c r="W193" s="65"/>
      <c r="X193" s="65"/>
      <c r="Y193" s="65"/>
      <c r="Z193" s="66"/>
      <c r="AA193" s="66"/>
      <c r="AB193" s="66"/>
    </row>
    <row r="194" hidden="1" outlineLevel="1">
      <c r="A194" s="71">
        <v>46191.0</v>
      </c>
      <c r="B194" s="74">
        <v>0.1</v>
      </c>
      <c r="C194" s="75">
        <v>0.1</v>
      </c>
      <c r="D194" s="76">
        <v>0.05</v>
      </c>
      <c r="E194" s="77">
        <v>3.0</v>
      </c>
      <c r="F194" s="78">
        <v>1000.0</v>
      </c>
      <c r="G194" s="79">
        <f t="shared" si="60"/>
        <v>0</v>
      </c>
      <c r="H194" s="80">
        <f t="shared" si="61"/>
        <v>0</v>
      </c>
      <c r="I194" s="81">
        <f t="shared" si="62"/>
        <v>0</v>
      </c>
      <c r="J194" s="82"/>
      <c r="K194" s="83"/>
      <c r="L194" s="84">
        <f t="shared" si="63"/>
        <v>0</v>
      </c>
      <c r="M194" s="65"/>
      <c r="N194" s="65"/>
      <c r="O194" s="65"/>
      <c r="P194" s="65"/>
      <c r="Q194" s="65"/>
      <c r="R194" s="65"/>
      <c r="S194" s="65"/>
      <c r="T194" s="65"/>
      <c r="U194" s="65"/>
      <c r="V194" s="65"/>
      <c r="W194" s="65"/>
      <c r="X194" s="65"/>
      <c r="Y194" s="65"/>
      <c r="Z194" s="66"/>
      <c r="AA194" s="66"/>
      <c r="AB194" s="66"/>
    </row>
    <row r="195" hidden="1" outlineLevel="1">
      <c r="A195" s="71">
        <v>46192.0</v>
      </c>
      <c r="B195" s="74">
        <v>0.1</v>
      </c>
      <c r="C195" s="75">
        <v>0.1</v>
      </c>
      <c r="D195" s="76">
        <v>0.05</v>
      </c>
      <c r="E195" s="77">
        <v>3.0</v>
      </c>
      <c r="F195" s="78">
        <v>1000.0</v>
      </c>
      <c r="G195" s="79">
        <f t="shared" si="60"/>
        <v>0</v>
      </c>
      <c r="H195" s="80">
        <f t="shared" si="61"/>
        <v>0</v>
      </c>
      <c r="I195" s="81">
        <f t="shared" si="62"/>
        <v>0</v>
      </c>
      <c r="J195" s="82"/>
      <c r="K195" s="83"/>
      <c r="L195" s="84">
        <f t="shared" si="63"/>
        <v>0</v>
      </c>
      <c r="M195" s="65"/>
      <c r="N195" s="65"/>
      <c r="O195" s="65"/>
      <c r="P195" s="65"/>
      <c r="Q195" s="65"/>
      <c r="R195" s="65"/>
      <c r="S195" s="65"/>
      <c r="T195" s="65"/>
      <c r="U195" s="65"/>
      <c r="V195" s="65"/>
      <c r="W195" s="65"/>
      <c r="X195" s="65"/>
      <c r="Y195" s="65"/>
      <c r="Z195" s="66"/>
      <c r="AA195" s="66"/>
      <c r="AB195" s="66"/>
    </row>
    <row r="196" hidden="1" outlineLevel="1">
      <c r="A196" s="71">
        <v>46193.0</v>
      </c>
      <c r="B196" s="74">
        <v>0.1</v>
      </c>
      <c r="C196" s="75">
        <v>0.1</v>
      </c>
      <c r="D196" s="76">
        <v>0.05</v>
      </c>
      <c r="E196" s="77">
        <v>3.0</v>
      </c>
      <c r="F196" s="78">
        <v>1000.0</v>
      </c>
      <c r="G196" s="79">
        <f t="shared" si="60"/>
        <v>0</v>
      </c>
      <c r="H196" s="80">
        <f t="shared" si="61"/>
        <v>0</v>
      </c>
      <c r="I196" s="81">
        <f t="shared" si="62"/>
        <v>0</v>
      </c>
      <c r="J196" s="82"/>
      <c r="K196" s="83"/>
      <c r="L196" s="84">
        <f t="shared" si="63"/>
        <v>0</v>
      </c>
      <c r="M196" s="65"/>
      <c r="N196" s="65"/>
      <c r="O196" s="65"/>
      <c r="P196" s="65"/>
      <c r="Q196" s="65"/>
      <c r="R196" s="65"/>
      <c r="S196" s="65"/>
      <c r="T196" s="65"/>
      <c r="U196" s="65"/>
      <c r="V196" s="65"/>
      <c r="W196" s="65"/>
      <c r="X196" s="65"/>
      <c r="Y196" s="65"/>
      <c r="Z196" s="66"/>
      <c r="AA196" s="66"/>
      <c r="AB196" s="66"/>
    </row>
    <row r="197" hidden="1" outlineLevel="1">
      <c r="A197" s="71">
        <v>46194.0</v>
      </c>
      <c r="B197" s="74">
        <v>0.1</v>
      </c>
      <c r="C197" s="75">
        <v>0.1</v>
      </c>
      <c r="D197" s="76">
        <v>0.05</v>
      </c>
      <c r="E197" s="77">
        <v>3.0</v>
      </c>
      <c r="F197" s="78">
        <v>1000.0</v>
      </c>
      <c r="G197" s="79">
        <f t="shared" si="60"/>
        <v>0</v>
      </c>
      <c r="H197" s="80">
        <f t="shared" si="61"/>
        <v>0</v>
      </c>
      <c r="I197" s="81">
        <f t="shared" si="62"/>
        <v>0</v>
      </c>
      <c r="J197" s="82"/>
      <c r="K197" s="83"/>
      <c r="L197" s="84">
        <f t="shared" si="63"/>
        <v>0</v>
      </c>
      <c r="M197" s="65"/>
      <c r="N197" s="65"/>
      <c r="O197" s="65"/>
      <c r="P197" s="65"/>
      <c r="Q197" s="65"/>
      <c r="R197" s="65"/>
      <c r="S197" s="65"/>
      <c r="T197" s="65"/>
      <c r="U197" s="65"/>
      <c r="V197" s="65"/>
      <c r="W197" s="65"/>
      <c r="X197" s="65"/>
      <c r="Y197" s="65"/>
      <c r="Z197" s="66"/>
      <c r="AA197" s="66"/>
      <c r="AB197" s="66"/>
    </row>
    <row r="198" hidden="1" outlineLevel="1">
      <c r="A198" s="71">
        <v>46195.0</v>
      </c>
      <c r="B198" s="74">
        <v>0.1</v>
      </c>
      <c r="C198" s="75">
        <v>0.1</v>
      </c>
      <c r="D198" s="76">
        <v>0.05</v>
      </c>
      <c r="E198" s="77">
        <v>3.0</v>
      </c>
      <c r="F198" s="78">
        <v>1000.0</v>
      </c>
      <c r="G198" s="79">
        <f t="shared" si="60"/>
        <v>0</v>
      </c>
      <c r="H198" s="80">
        <f t="shared" si="61"/>
        <v>0</v>
      </c>
      <c r="I198" s="81">
        <f t="shared" si="62"/>
        <v>0</v>
      </c>
      <c r="J198" s="82"/>
      <c r="K198" s="83"/>
      <c r="L198" s="84">
        <f t="shared" si="63"/>
        <v>0</v>
      </c>
      <c r="M198" s="65"/>
      <c r="N198" s="65"/>
      <c r="O198" s="65"/>
      <c r="P198" s="65"/>
      <c r="Q198" s="65"/>
      <c r="R198" s="65"/>
      <c r="S198" s="65"/>
      <c r="T198" s="65"/>
      <c r="U198" s="65"/>
      <c r="V198" s="65"/>
      <c r="W198" s="65"/>
      <c r="X198" s="65"/>
      <c r="Y198" s="65"/>
      <c r="Z198" s="66"/>
      <c r="AA198" s="66"/>
      <c r="AB198" s="66"/>
    </row>
    <row r="199" hidden="1" outlineLevel="1">
      <c r="A199" s="71">
        <v>46196.0</v>
      </c>
      <c r="B199" s="74">
        <v>0.1</v>
      </c>
      <c r="C199" s="75">
        <v>0.1</v>
      </c>
      <c r="D199" s="76">
        <v>0.05</v>
      </c>
      <c r="E199" s="77">
        <v>3.0</v>
      </c>
      <c r="F199" s="78">
        <v>1000.0</v>
      </c>
      <c r="G199" s="79">
        <f t="shared" si="60"/>
        <v>0</v>
      </c>
      <c r="H199" s="80">
        <f t="shared" si="61"/>
        <v>0</v>
      </c>
      <c r="I199" s="81">
        <f t="shared" si="62"/>
        <v>0</v>
      </c>
      <c r="J199" s="82"/>
      <c r="K199" s="83"/>
      <c r="L199" s="84">
        <f t="shared" si="63"/>
        <v>0</v>
      </c>
      <c r="M199" s="65"/>
      <c r="N199" s="65"/>
      <c r="O199" s="65"/>
      <c r="P199" s="65"/>
      <c r="Q199" s="65"/>
      <c r="R199" s="65"/>
      <c r="S199" s="65"/>
      <c r="T199" s="65"/>
      <c r="U199" s="65"/>
      <c r="V199" s="65"/>
      <c r="W199" s="65"/>
      <c r="X199" s="65"/>
      <c r="Y199" s="65"/>
      <c r="Z199" s="66"/>
      <c r="AA199" s="66"/>
      <c r="AB199" s="66"/>
    </row>
    <row r="200" hidden="1" outlineLevel="1">
      <c r="A200" s="71">
        <v>46197.0</v>
      </c>
      <c r="B200" s="74">
        <v>0.1</v>
      </c>
      <c r="C200" s="75">
        <v>0.1</v>
      </c>
      <c r="D200" s="76">
        <v>0.05</v>
      </c>
      <c r="E200" s="77">
        <v>3.0</v>
      </c>
      <c r="F200" s="78">
        <v>1000.0</v>
      </c>
      <c r="G200" s="79">
        <f t="shared" si="60"/>
        <v>0</v>
      </c>
      <c r="H200" s="80">
        <f t="shared" si="61"/>
        <v>0</v>
      </c>
      <c r="I200" s="81">
        <f t="shared" si="62"/>
        <v>0</v>
      </c>
      <c r="J200" s="82"/>
      <c r="K200" s="83"/>
      <c r="L200" s="84">
        <f t="shared" si="63"/>
        <v>0</v>
      </c>
      <c r="M200" s="65"/>
      <c r="N200" s="65"/>
      <c r="O200" s="65"/>
      <c r="P200" s="65"/>
      <c r="Q200" s="65"/>
      <c r="R200" s="65"/>
      <c r="S200" s="65"/>
      <c r="T200" s="65"/>
      <c r="U200" s="65"/>
      <c r="V200" s="65"/>
      <c r="W200" s="65"/>
      <c r="X200" s="65"/>
      <c r="Y200" s="65"/>
      <c r="Z200" s="66"/>
      <c r="AA200" s="66"/>
      <c r="AB200" s="66"/>
    </row>
    <row r="201" hidden="1" outlineLevel="1">
      <c r="A201" s="71">
        <v>46198.0</v>
      </c>
      <c r="B201" s="74">
        <v>0.1</v>
      </c>
      <c r="C201" s="75">
        <v>0.1</v>
      </c>
      <c r="D201" s="76">
        <v>0.05</v>
      </c>
      <c r="E201" s="77">
        <v>3.0</v>
      </c>
      <c r="F201" s="78">
        <v>1000.0</v>
      </c>
      <c r="G201" s="79">
        <f t="shared" si="60"/>
        <v>0</v>
      </c>
      <c r="H201" s="80">
        <f t="shared" si="61"/>
        <v>0</v>
      </c>
      <c r="I201" s="81">
        <f t="shared" si="62"/>
        <v>0</v>
      </c>
      <c r="J201" s="82"/>
      <c r="K201" s="83"/>
      <c r="L201" s="84">
        <f t="shared" si="63"/>
        <v>0</v>
      </c>
      <c r="M201" s="65"/>
      <c r="N201" s="65"/>
      <c r="O201" s="65"/>
      <c r="P201" s="65"/>
      <c r="Q201" s="65"/>
      <c r="R201" s="65"/>
      <c r="S201" s="65"/>
      <c r="T201" s="65"/>
      <c r="U201" s="65"/>
      <c r="V201" s="65"/>
      <c r="W201" s="65"/>
      <c r="X201" s="65"/>
      <c r="Y201" s="65"/>
      <c r="Z201" s="66"/>
      <c r="AA201" s="66"/>
      <c r="AB201" s="66"/>
    </row>
    <row r="202" hidden="1" outlineLevel="1">
      <c r="A202" s="71">
        <v>46199.0</v>
      </c>
      <c r="B202" s="74">
        <v>0.1</v>
      </c>
      <c r="C202" s="75">
        <v>0.1</v>
      </c>
      <c r="D202" s="76">
        <v>0.05</v>
      </c>
      <c r="E202" s="77">
        <v>3.0</v>
      </c>
      <c r="F202" s="78">
        <v>1000.0</v>
      </c>
      <c r="G202" s="79">
        <f t="shared" si="60"/>
        <v>0</v>
      </c>
      <c r="H202" s="80">
        <f t="shared" si="61"/>
        <v>0</v>
      </c>
      <c r="I202" s="81">
        <f t="shared" si="62"/>
        <v>0</v>
      </c>
      <c r="J202" s="82"/>
      <c r="K202" s="83"/>
      <c r="L202" s="84">
        <f t="shared" si="63"/>
        <v>0</v>
      </c>
      <c r="M202" s="65"/>
      <c r="N202" s="65"/>
      <c r="O202" s="65"/>
      <c r="P202" s="65"/>
      <c r="Q202" s="65"/>
      <c r="R202" s="65"/>
      <c r="S202" s="65"/>
      <c r="T202" s="65"/>
      <c r="U202" s="65"/>
      <c r="V202" s="65"/>
      <c r="W202" s="65"/>
      <c r="X202" s="65"/>
      <c r="Y202" s="65"/>
      <c r="Z202" s="66"/>
      <c r="AA202" s="66"/>
      <c r="AB202" s="66"/>
    </row>
    <row r="203" hidden="1" outlineLevel="1">
      <c r="A203" s="71">
        <v>46200.0</v>
      </c>
      <c r="B203" s="74">
        <v>0.1</v>
      </c>
      <c r="C203" s="75">
        <v>0.1</v>
      </c>
      <c r="D203" s="76">
        <v>0.05</v>
      </c>
      <c r="E203" s="77">
        <v>3.0</v>
      </c>
      <c r="F203" s="78">
        <v>1000.0</v>
      </c>
      <c r="G203" s="79">
        <f t="shared" si="60"/>
        <v>0</v>
      </c>
      <c r="H203" s="80">
        <f t="shared" si="61"/>
        <v>0</v>
      </c>
      <c r="I203" s="81">
        <f t="shared" si="62"/>
        <v>0</v>
      </c>
      <c r="J203" s="82"/>
      <c r="K203" s="83"/>
      <c r="L203" s="84">
        <f t="shared" si="63"/>
        <v>0</v>
      </c>
      <c r="M203" s="65"/>
      <c r="N203" s="65"/>
      <c r="O203" s="65"/>
      <c r="P203" s="65"/>
      <c r="Q203" s="65"/>
      <c r="R203" s="65"/>
      <c r="S203" s="65"/>
      <c r="T203" s="65"/>
      <c r="U203" s="65"/>
      <c r="V203" s="65"/>
      <c r="W203" s="65"/>
      <c r="X203" s="65"/>
      <c r="Y203" s="65"/>
      <c r="Z203" s="66"/>
      <c r="AA203" s="66"/>
      <c r="AB203" s="66"/>
    </row>
    <row r="204" hidden="1" outlineLevel="1">
      <c r="A204" s="71">
        <v>46201.0</v>
      </c>
      <c r="B204" s="74">
        <v>0.1</v>
      </c>
      <c r="C204" s="75">
        <v>0.1</v>
      </c>
      <c r="D204" s="76">
        <v>0.05</v>
      </c>
      <c r="E204" s="77">
        <v>3.0</v>
      </c>
      <c r="F204" s="78">
        <v>1000.0</v>
      </c>
      <c r="G204" s="79">
        <f t="shared" si="60"/>
        <v>0</v>
      </c>
      <c r="H204" s="80">
        <f t="shared" si="61"/>
        <v>0</v>
      </c>
      <c r="I204" s="81">
        <f t="shared" si="62"/>
        <v>0</v>
      </c>
      <c r="J204" s="82"/>
      <c r="K204" s="83"/>
      <c r="L204" s="84">
        <f t="shared" si="63"/>
        <v>0</v>
      </c>
      <c r="M204" s="65"/>
      <c r="N204" s="65"/>
      <c r="O204" s="65"/>
      <c r="P204" s="65"/>
      <c r="Q204" s="65"/>
      <c r="R204" s="65"/>
      <c r="S204" s="65"/>
      <c r="T204" s="65"/>
      <c r="U204" s="65"/>
      <c r="V204" s="65"/>
      <c r="W204" s="65"/>
      <c r="X204" s="65"/>
      <c r="Y204" s="65"/>
      <c r="Z204" s="66"/>
      <c r="AA204" s="66"/>
      <c r="AB204" s="66"/>
    </row>
    <row r="205" hidden="1" outlineLevel="1">
      <c r="A205" s="71">
        <v>46202.0</v>
      </c>
      <c r="B205" s="74">
        <v>0.1</v>
      </c>
      <c r="C205" s="75">
        <v>0.1</v>
      </c>
      <c r="D205" s="76">
        <v>0.05</v>
      </c>
      <c r="E205" s="77">
        <v>3.0</v>
      </c>
      <c r="F205" s="78">
        <v>1000.0</v>
      </c>
      <c r="G205" s="79">
        <f t="shared" si="60"/>
        <v>0</v>
      </c>
      <c r="H205" s="80">
        <f t="shared" si="61"/>
        <v>0</v>
      </c>
      <c r="I205" s="81">
        <f t="shared" si="62"/>
        <v>0</v>
      </c>
      <c r="J205" s="82"/>
      <c r="K205" s="83"/>
      <c r="L205" s="84">
        <f t="shared" si="63"/>
        <v>0</v>
      </c>
      <c r="M205" s="65"/>
      <c r="N205" s="65"/>
      <c r="O205" s="65"/>
      <c r="P205" s="65"/>
      <c r="Q205" s="65"/>
      <c r="R205" s="65"/>
      <c r="S205" s="65"/>
      <c r="T205" s="65"/>
      <c r="U205" s="65"/>
      <c r="V205" s="65"/>
      <c r="W205" s="65"/>
      <c r="X205" s="65"/>
      <c r="Y205" s="65"/>
      <c r="Z205" s="66"/>
      <c r="AA205" s="66"/>
      <c r="AB205" s="66"/>
    </row>
    <row r="206" hidden="1" outlineLevel="1">
      <c r="A206" s="71">
        <v>46203.0</v>
      </c>
      <c r="B206" s="74">
        <v>0.1</v>
      </c>
      <c r="C206" s="75">
        <v>0.1</v>
      </c>
      <c r="D206" s="76">
        <v>0.05</v>
      </c>
      <c r="E206" s="77">
        <v>3.0</v>
      </c>
      <c r="F206" s="78">
        <v>1000.0</v>
      </c>
      <c r="G206" s="79">
        <f t="shared" si="60"/>
        <v>0</v>
      </c>
      <c r="H206" s="80">
        <f t="shared" si="61"/>
        <v>0</v>
      </c>
      <c r="I206" s="81">
        <f t="shared" si="62"/>
        <v>0</v>
      </c>
      <c r="J206" s="82"/>
      <c r="K206" s="83"/>
      <c r="L206" s="84">
        <f t="shared" si="63"/>
        <v>0</v>
      </c>
      <c r="M206" s="65"/>
      <c r="N206" s="65"/>
      <c r="O206" s="65"/>
      <c r="P206" s="65"/>
      <c r="Q206" s="65"/>
      <c r="R206" s="65"/>
      <c r="S206" s="65"/>
      <c r="T206" s="65"/>
      <c r="U206" s="65"/>
      <c r="V206" s="65"/>
      <c r="W206" s="65"/>
      <c r="X206" s="65"/>
      <c r="Y206" s="65"/>
      <c r="Z206" s="66"/>
      <c r="AA206" s="66"/>
      <c r="AB206" s="66"/>
    </row>
    <row r="207" hidden="1" outlineLevel="1">
      <c r="A207" s="85" t="s">
        <v>41</v>
      </c>
      <c r="C207" s="86">
        <f>SUM(C177:C206)</f>
        <v>3</v>
      </c>
      <c r="D207" s="87"/>
      <c r="E207" s="87"/>
      <c r="F207" s="87"/>
      <c r="G207" s="87"/>
      <c r="H207" s="87"/>
      <c r="I207" s="88">
        <f t="shared" ref="I207:K207" si="64">SUM(I177:I206)</f>
        <v>0</v>
      </c>
      <c r="J207" s="89">
        <f t="shared" si="64"/>
        <v>0</v>
      </c>
      <c r="K207" s="87">
        <f t="shared" si="64"/>
        <v>0</v>
      </c>
      <c r="L207" s="89">
        <f>L206</f>
        <v>0</v>
      </c>
      <c r="M207" s="65"/>
      <c r="N207" s="65"/>
      <c r="O207" s="65"/>
      <c r="P207" s="65"/>
      <c r="Q207" s="65"/>
      <c r="R207" s="65"/>
      <c r="S207" s="65"/>
      <c r="T207" s="65"/>
      <c r="U207" s="65"/>
      <c r="V207" s="65"/>
      <c r="W207" s="65"/>
      <c r="X207" s="65"/>
      <c r="Y207" s="65"/>
      <c r="Z207" s="66"/>
      <c r="AA207" s="66"/>
      <c r="AB207" s="66"/>
    </row>
    <row r="208">
      <c r="A208" s="95"/>
      <c r="B208" s="92"/>
      <c r="C208" s="92"/>
      <c r="D208" s="92"/>
      <c r="E208" s="92"/>
      <c r="F208" s="92"/>
      <c r="G208" s="92"/>
      <c r="H208" s="92"/>
      <c r="I208" s="92"/>
      <c r="J208" s="92"/>
      <c r="K208" s="94">
        <f>SUM(K177:K206)</f>
        <v>0</v>
      </c>
      <c r="L208" s="92"/>
      <c r="M208" s="65"/>
      <c r="N208" s="65"/>
      <c r="O208" s="65"/>
      <c r="P208" s="65"/>
      <c r="Q208" s="65"/>
      <c r="R208" s="65"/>
      <c r="S208" s="65"/>
      <c r="T208" s="65"/>
      <c r="U208" s="65"/>
      <c r="V208" s="65"/>
      <c r="W208" s="65"/>
      <c r="X208" s="65"/>
      <c r="Y208" s="65"/>
      <c r="Z208" s="66"/>
      <c r="AA208" s="66"/>
      <c r="AB208" s="66"/>
    </row>
    <row r="209" collapsed="1">
      <c r="A209" s="57" t="s">
        <v>48</v>
      </c>
      <c r="M209" s="65"/>
      <c r="N209" s="65"/>
      <c r="O209" s="65"/>
      <c r="P209" s="65"/>
      <c r="Q209" s="65"/>
      <c r="R209" s="65"/>
      <c r="S209" s="65"/>
      <c r="T209" s="65"/>
      <c r="U209" s="65"/>
      <c r="V209" s="65"/>
      <c r="W209" s="65"/>
      <c r="X209" s="65"/>
      <c r="Y209" s="65"/>
      <c r="Z209" s="66"/>
      <c r="AA209" s="66"/>
      <c r="AB209" s="66"/>
    </row>
    <row r="210" hidden="1" outlineLevel="1">
      <c r="A210" s="71" t="s">
        <v>29</v>
      </c>
      <c r="B210" s="57" t="s">
        <v>30</v>
      </c>
      <c r="C210" s="57" t="s">
        <v>31</v>
      </c>
      <c r="D210" s="72" t="s">
        <v>32</v>
      </c>
      <c r="E210" s="72" t="s">
        <v>33</v>
      </c>
      <c r="F210" s="72" t="s">
        <v>34</v>
      </c>
      <c r="G210" s="73" t="s">
        <v>35</v>
      </c>
      <c r="H210" s="72" t="s">
        <v>36</v>
      </c>
      <c r="I210" s="57" t="s">
        <v>37</v>
      </c>
      <c r="J210" s="74" t="s">
        <v>38</v>
      </c>
      <c r="K210" s="57" t="s">
        <v>39</v>
      </c>
      <c r="L210" s="57" t="s">
        <v>40</v>
      </c>
      <c r="M210" s="65"/>
      <c r="N210" s="65"/>
      <c r="O210" s="65"/>
      <c r="P210" s="65"/>
      <c r="Q210" s="65"/>
      <c r="R210" s="65"/>
      <c r="S210" s="65"/>
      <c r="T210" s="65"/>
      <c r="U210" s="65"/>
      <c r="V210" s="65"/>
      <c r="W210" s="65"/>
      <c r="X210" s="65"/>
      <c r="Y210" s="65"/>
      <c r="Z210" s="66"/>
      <c r="AA210" s="66"/>
      <c r="AB210" s="66"/>
    </row>
    <row r="211" hidden="1" outlineLevel="1">
      <c r="A211" s="71">
        <v>46204.0</v>
      </c>
      <c r="B211" s="74">
        <v>0.1</v>
      </c>
      <c r="C211" s="75">
        <v>0.1</v>
      </c>
      <c r="D211" s="76">
        <v>0.05</v>
      </c>
      <c r="E211" s="77">
        <v>3.0</v>
      </c>
      <c r="F211" s="78">
        <v>1000.0</v>
      </c>
      <c r="G211" s="79">
        <f>L207*C211</f>
        <v>0</v>
      </c>
      <c r="H211" s="80">
        <f>L207*D211</f>
        <v>0</v>
      </c>
      <c r="I211" s="81">
        <f>(J211/L207)*100</f>
        <v>0</v>
      </c>
      <c r="J211" s="82"/>
      <c r="K211" s="83"/>
      <c r="L211" s="84">
        <f>(L207+J211)-K211</f>
        <v>0</v>
      </c>
      <c r="M211" s="65"/>
      <c r="N211" s="65"/>
      <c r="O211" s="65"/>
      <c r="P211" s="65"/>
      <c r="Q211" s="65"/>
      <c r="R211" s="65"/>
      <c r="S211" s="65"/>
      <c r="T211" s="65"/>
      <c r="U211" s="65"/>
      <c r="V211" s="65"/>
      <c r="W211" s="65"/>
      <c r="X211" s="65"/>
      <c r="Y211" s="65"/>
      <c r="Z211" s="66"/>
      <c r="AA211" s="66"/>
      <c r="AB211" s="66"/>
    </row>
    <row r="212" hidden="1" outlineLevel="1">
      <c r="A212" s="71">
        <v>46205.0</v>
      </c>
      <c r="B212" s="74">
        <v>0.1</v>
      </c>
      <c r="C212" s="75">
        <v>0.1</v>
      </c>
      <c r="D212" s="76">
        <v>0.05</v>
      </c>
      <c r="E212" s="77">
        <v>3.0</v>
      </c>
      <c r="F212" s="78">
        <v>1000.0</v>
      </c>
      <c r="G212" s="79">
        <f t="shared" ref="G212:G241" si="65">L211*C212</f>
        <v>0</v>
      </c>
      <c r="H212" s="80">
        <f t="shared" ref="H212:H241" si="66">L211*D212</f>
        <v>0</v>
      </c>
      <c r="I212" s="81">
        <f t="shared" ref="I212:I241" si="67">(J212/L211)*100</f>
        <v>0</v>
      </c>
      <c r="J212" s="82"/>
      <c r="K212" s="83"/>
      <c r="L212" s="84">
        <f t="shared" ref="L212:L241" si="68">(L211+J212)-K212</f>
        <v>0</v>
      </c>
      <c r="M212" s="65"/>
      <c r="N212" s="65"/>
      <c r="O212" s="65"/>
      <c r="P212" s="65"/>
      <c r="Q212" s="65"/>
      <c r="R212" s="65"/>
      <c r="S212" s="65"/>
      <c r="T212" s="65"/>
      <c r="U212" s="65"/>
      <c r="V212" s="65"/>
      <c r="W212" s="65"/>
      <c r="X212" s="65"/>
      <c r="Y212" s="65"/>
      <c r="Z212" s="66"/>
      <c r="AA212" s="66"/>
      <c r="AB212" s="66"/>
    </row>
    <row r="213" hidden="1" outlineLevel="1">
      <c r="A213" s="71">
        <v>46206.0</v>
      </c>
      <c r="B213" s="74">
        <v>0.1</v>
      </c>
      <c r="C213" s="75">
        <v>0.1</v>
      </c>
      <c r="D213" s="76">
        <v>0.05</v>
      </c>
      <c r="E213" s="77">
        <v>3.0</v>
      </c>
      <c r="F213" s="78">
        <v>1000.0</v>
      </c>
      <c r="G213" s="79">
        <f t="shared" si="65"/>
        <v>0</v>
      </c>
      <c r="H213" s="80">
        <f t="shared" si="66"/>
        <v>0</v>
      </c>
      <c r="I213" s="81">
        <f t="shared" si="67"/>
        <v>0</v>
      </c>
      <c r="J213" s="82"/>
      <c r="K213" s="83"/>
      <c r="L213" s="84">
        <f t="shared" si="68"/>
        <v>0</v>
      </c>
      <c r="M213" s="65"/>
      <c r="N213" s="65"/>
      <c r="O213" s="65"/>
      <c r="P213" s="65"/>
      <c r="Q213" s="65"/>
      <c r="R213" s="65"/>
      <c r="S213" s="65"/>
      <c r="T213" s="65"/>
      <c r="U213" s="65"/>
      <c r="V213" s="65"/>
      <c r="W213" s="65"/>
      <c r="X213" s="65"/>
      <c r="Y213" s="65"/>
      <c r="Z213" s="66"/>
      <c r="AA213" s="66"/>
      <c r="AB213" s="66"/>
    </row>
    <row r="214" hidden="1" outlineLevel="1">
      <c r="A214" s="71">
        <v>46207.0</v>
      </c>
      <c r="B214" s="74">
        <v>0.1</v>
      </c>
      <c r="C214" s="75">
        <v>0.1</v>
      </c>
      <c r="D214" s="76">
        <v>0.05</v>
      </c>
      <c r="E214" s="77">
        <v>3.0</v>
      </c>
      <c r="F214" s="78">
        <v>1000.0</v>
      </c>
      <c r="G214" s="79">
        <f t="shared" si="65"/>
        <v>0</v>
      </c>
      <c r="H214" s="80">
        <f t="shared" si="66"/>
        <v>0</v>
      </c>
      <c r="I214" s="81">
        <f t="shared" si="67"/>
        <v>0</v>
      </c>
      <c r="J214" s="82"/>
      <c r="K214" s="83"/>
      <c r="L214" s="84">
        <f t="shared" si="68"/>
        <v>0</v>
      </c>
      <c r="M214" s="65"/>
      <c r="N214" s="65"/>
      <c r="O214" s="65"/>
      <c r="P214" s="65"/>
      <c r="Q214" s="65"/>
      <c r="R214" s="65"/>
      <c r="S214" s="65"/>
      <c r="T214" s="65"/>
      <c r="U214" s="65"/>
      <c r="V214" s="65"/>
      <c r="W214" s="65"/>
      <c r="X214" s="65"/>
      <c r="Y214" s="65"/>
      <c r="Z214" s="66"/>
      <c r="AA214" s="66"/>
      <c r="AB214" s="66"/>
    </row>
    <row r="215" hidden="1" outlineLevel="1">
      <c r="A215" s="71">
        <v>46208.0</v>
      </c>
      <c r="B215" s="74">
        <v>0.1</v>
      </c>
      <c r="C215" s="75">
        <v>0.1</v>
      </c>
      <c r="D215" s="76">
        <v>0.05</v>
      </c>
      <c r="E215" s="77">
        <v>3.0</v>
      </c>
      <c r="F215" s="78">
        <v>1000.0</v>
      </c>
      <c r="G215" s="79">
        <f t="shared" si="65"/>
        <v>0</v>
      </c>
      <c r="H215" s="80">
        <f t="shared" si="66"/>
        <v>0</v>
      </c>
      <c r="I215" s="81">
        <f t="shared" si="67"/>
        <v>0</v>
      </c>
      <c r="J215" s="82"/>
      <c r="K215" s="83"/>
      <c r="L215" s="84">
        <f t="shared" si="68"/>
        <v>0</v>
      </c>
      <c r="M215" s="65"/>
      <c r="N215" s="65"/>
      <c r="O215" s="65"/>
      <c r="P215" s="65"/>
      <c r="Q215" s="65"/>
      <c r="R215" s="65"/>
      <c r="S215" s="65"/>
      <c r="T215" s="65"/>
      <c r="U215" s="65"/>
      <c r="V215" s="65"/>
      <c r="W215" s="65"/>
      <c r="X215" s="65"/>
      <c r="Y215" s="65"/>
      <c r="Z215" s="66"/>
      <c r="AA215" s="66"/>
      <c r="AB215" s="66"/>
    </row>
    <row r="216" hidden="1" outlineLevel="1">
      <c r="A216" s="71">
        <v>46209.0</v>
      </c>
      <c r="B216" s="74">
        <v>0.1</v>
      </c>
      <c r="C216" s="75">
        <v>0.1</v>
      </c>
      <c r="D216" s="76">
        <v>0.05</v>
      </c>
      <c r="E216" s="77">
        <v>3.0</v>
      </c>
      <c r="F216" s="78">
        <v>1000.0</v>
      </c>
      <c r="G216" s="79">
        <f t="shared" si="65"/>
        <v>0</v>
      </c>
      <c r="H216" s="80">
        <f t="shared" si="66"/>
        <v>0</v>
      </c>
      <c r="I216" s="81">
        <f t="shared" si="67"/>
        <v>0</v>
      </c>
      <c r="J216" s="82"/>
      <c r="K216" s="83"/>
      <c r="L216" s="84">
        <f t="shared" si="68"/>
        <v>0</v>
      </c>
      <c r="M216" s="65"/>
      <c r="N216" s="65"/>
      <c r="O216" s="65"/>
      <c r="P216" s="65"/>
      <c r="Q216" s="65"/>
      <c r="R216" s="65"/>
      <c r="S216" s="65"/>
      <c r="T216" s="65"/>
      <c r="U216" s="65"/>
      <c r="V216" s="65"/>
      <c r="W216" s="65"/>
      <c r="X216" s="65"/>
      <c r="Y216" s="65"/>
      <c r="Z216" s="66"/>
      <c r="AA216" s="66"/>
      <c r="AB216" s="66"/>
    </row>
    <row r="217" hidden="1" outlineLevel="1">
      <c r="A217" s="71">
        <v>46210.0</v>
      </c>
      <c r="B217" s="74">
        <v>0.1</v>
      </c>
      <c r="C217" s="75">
        <v>0.1</v>
      </c>
      <c r="D217" s="76">
        <v>0.05</v>
      </c>
      <c r="E217" s="77">
        <v>3.0</v>
      </c>
      <c r="F217" s="78">
        <v>1000.0</v>
      </c>
      <c r="G217" s="79">
        <f t="shared" si="65"/>
        <v>0</v>
      </c>
      <c r="H217" s="80">
        <f t="shared" si="66"/>
        <v>0</v>
      </c>
      <c r="I217" s="81">
        <f t="shared" si="67"/>
        <v>0</v>
      </c>
      <c r="J217" s="82"/>
      <c r="K217" s="83"/>
      <c r="L217" s="84">
        <f t="shared" si="68"/>
        <v>0</v>
      </c>
      <c r="M217" s="65"/>
      <c r="N217" s="65"/>
      <c r="O217" s="65"/>
      <c r="P217" s="65"/>
      <c r="Q217" s="65"/>
      <c r="R217" s="65"/>
      <c r="S217" s="65"/>
      <c r="T217" s="65"/>
      <c r="U217" s="65"/>
      <c r="V217" s="65"/>
      <c r="W217" s="65"/>
      <c r="X217" s="65"/>
      <c r="Y217" s="65"/>
      <c r="Z217" s="66"/>
      <c r="AA217" s="66"/>
      <c r="AB217" s="66"/>
    </row>
    <row r="218" hidden="1" outlineLevel="1">
      <c r="A218" s="71">
        <v>46211.0</v>
      </c>
      <c r="B218" s="74">
        <v>0.1</v>
      </c>
      <c r="C218" s="75">
        <v>0.1</v>
      </c>
      <c r="D218" s="76">
        <v>0.05</v>
      </c>
      <c r="E218" s="77">
        <v>3.0</v>
      </c>
      <c r="F218" s="78">
        <v>1000.0</v>
      </c>
      <c r="G218" s="79">
        <f t="shared" si="65"/>
        <v>0</v>
      </c>
      <c r="H218" s="80">
        <f t="shared" si="66"/>
        <v>0</v>
      </c>
      <c r="I218" s="81">
        <f t="shared" si="67"/>
        <v>0</v>
      </c>
      <c r="J218" s="82"/>
      <c r="K218" s="83"/>
      <c r="L218" s="84">
        <f t="shared" si="68"/>
        <v>0</v>
      </c>
      <c r="M218" s="65"/>
      <c r="N218" s="65"/>
      <c r="O218" s="65"/>
      <c r="P218" s="65"/>
      <c r="Q218" s="65"/>
      <c r="R218" s="65"/>
      <c r="S218" s="65"/>
      <c r="T218" s="65"/>
      <c r="U218" s="65"/>
      <c r="V218" s="65"/>
      <c r="W218" s="65"/>
      <c r="X218" s="65"/>
      <c r="Y218" s="65"/>
      <c r="Z218" s="66"/>
      <c r="AA218" s="66"/>
      <c r="AB218" s="66"/>
    </row>
    <row r="219" hidden="1" outlineLevel="1">
      <c r="A219" s="71">
        <v>46212.0</v>
      </c>
      <c r="B219" s="74">
        <v>0.1</v>
      </c>
      <c r="C219" s="75">
        <v>0.1</v>
      </c>
      <c r="D219" s="76">
        <v>0.05</v>
      </c>
      <c r="E219" s="77">
        <v>3.0</v>
      </c>
      <c r="F219" s="78">
        <v>1000.0</v>
      </c>
      <c r="G219" s="79">
        <f t="shared" si="65"/>
        <v>0</v>
      </c>
      <c r="H219" s="80">
        <f t="shared" si="66"/>
        <v>0</v>
      </c>
      <c r="I219" s="81">
        <f t="shared" si="67"/>
        <v>0</v>
      </c>
      <c r="J219" s="82"/>
      <c r="K219" s="83"/>
      <c r="L219" s="84">
        <f t="shared" si="68"/>
        <v>0</v>
      </c>
      <c r="M219" s="65"/>
      <c r="N219" s="65"/>
      <c r="O219" s="65"/>
      <c r="P219" s="65"/>
      <c r="Q219" s="65"/>
      <c r="R219" s="65"/>
      <c r="S219" s="65"/>
      <c r="T219" s="65"/>
      <c r="U219" s="65"/>
      <c r="V219" s="65"/>
      <c r="W219" s="65"/>
      <c r="X219" s="65"/>
      <c r="Y219" s="65"/>
      <c r="Z219" s="66"/>
      <c r="AA219" s="66"/>
      <c r="AB219" s="66"/>
    </row>
    <row r="220" hidden="1" outlineLevel="1">
      <c r="A220" s="71">
        <v>46213.0</v>
      </c>
      <c r="B220" s="74">
        <v>0.1</v>
      </c>
      <c r="C220" s="75">
        <v>0.1</v>
      </c>
      <c r="D220" s="76">
        <v>0.05</v>
      </c>
      <c r="E220" s="77">
        <v>3.0</v>
      </c>
      <c r="F220" s="78">
        <v>1000.0</v>
      </c>
      <c r="G220" s="79">
        <f t="shared" si="65"/>
        <v>0</v>
      </c>
      <c r="H220" s="80">
        <f t="shared" si="66"/>
        <v>0</v>
      </c>
      <c r="I220" s="81">
        <f t="shared" si="67"/>
        <v>0</v>
      </c>
      <c r="J220" s="82"/>
      <c r="K220" s="83"/>
      <c r="L220" s="84">
        <f t="shared" si="68"/>
        <v>0</v>
      </c>
      <c r="M220" s="65"/>
      <c r="N220" s="65"/>
      <c r="O220" s="65"/>
      <c r="P220" s="65"/>
      <c r="Q220" s="65"/>
      <c r="R220" s="65"/>
      <c r="S220" s="65"/>
      <c r="T220" s="65"/>
      <c r="U220" s="65"/>
      <c r="V220" s="65"/>
      <c r="W220" s="65"/>
      <c r="X220" s="65"/>
      <c r="Y220" s="65"/>
      <c r="Z220" s="66"/>
      <c r="AA220" s="66"/>
      <c r="AB220" s="66"/>
    </row>
    <row r="221" hidden="1" outlineLevel="1">
      <c r="A221" s="71">
        <v>46214.0</v>
      </c>
      <c r="B221" s="74">
        <v>0.1</v>
      </c>
      <c r="C221" s="75">
        <v>0.1</v>
      </c>
      <c r="D221" s="76">
        <v>0.05</v>
      </c>
      <c r="E221" s="77">
        <v>3.0</v>
      </c>
      <c r="F221" s="78">
        <v>1000.0</v>
      </c>
      <c r="G221" s="79">
        <f t="shared" si="65"/>
        <v>0</v>
      </c>
      <c r="H221" s="80">
        <f t="shared" si="66"/>
        <v>0</v>
      </c>
      <c r="I221" s="81">
        <f t="shared" si="67"/>
        <v>0</v>
      </c>
      <c r="J221" s="82"/>
      <c r="K221" s="83"/>
      <c r="L221" s="84">
        <f t="shared" si="68"/>
        <v>0</v>
      </c>
      <c r="M221" s="65"/>
      <c r="N221" s="65"/>
      <c r="O221" s="65"/>
      <c r="P221" s="65"/>
      <c r="Q221" s="65"/>
      <c r="R221" s="65"/>
      <c r="S221" s="65"/>
      <c r="T221" s="65"/>
      <c r="U221" s="65"/>
      <c r="V221" s="65"/>
      <c r="W221" s="65"/>
      <c r="X221" s="65"/>
      <c r="Y221" s="65"/>
      <c r="Z221" s="66"/>
      <c r="AA221" s="66"/>
      <c r="AB221" s="66"/>
    </row>
    <row r="222" hidden="1" outlineLevel="1">
      <c r="A222" s="71">
        <v>46215.0</v>
      </c>
      <c r="B222" s="74">
        <v>0.1</v>
      </c>
      <c r="C222" s="75">
        <v>0.1</v>
      </c>
      <c r="D222" s="76">
        <v>0.05</v>
      </c>
      <c r="E222" s="77">
        <v>3.0</v>
      </c>
      <c r="F222" s="78">
        <v>1000.0</v>
      </c>
      <c r="G222" s="79">
        <f t="shared" si="65"/>
        <v>0</v>
      </c>
      <c r="H222" s="80">
        <f t="shared" si="66"/>
        <v>0</v>
      </c>
      <c r="I222" s="81">
        <f t="shared" si="67"/>
        <v>0</v>
      </c>
      <c r="J222" s="82"/>
      <c r="K222" s="83"/>
      <c r="L222" s="84">
        <f t="shared" si="68"/>
        <v>0</v>
      </c>
      <c r="M222" s="65"/>
      <c r="N222" s="65"/>
      <c r="O222" s="65"/>
      <c r="P222" s="65"/>
      <c r="Q222" s="65"/>
      <c r="R222" s="65"/>
      <c r="S222" s="65"/>
      <c r="T222" s="65"/>
      <c r="U222" s="65"/>
      <c r="V222" s="65"/>
      <c r="W222" s="65"/>
      <c r="X222" s="65"/>
      <c r="Y222" s="65"/>
      <c r="Z222" s="66"/>
      <c r="AA222" s="66"/>
      <c r="AB222" s="66"/>
    </row>
    <row r="223" hidden="1" outlineLevel="1">
      <c r="A223" s="71">
        <v>46216.0</v>
      </c>
      <c r="B223" s="74">
        <v>0.1</v>
      </c>
      <c r="C223" s="75">
        <v>0.1</v>
      </c>
      <c r="D223" s="76">
        <v>0.05</v>
      </c>
      <c r="E223" s="77">
        <v>3.0</v>
      </c>
      <c r="F223" s="78">
        <v>1000.0</v>
      </c>
      <c r="G223" s="79">
        <f t="shared" si="65"/>
        <v>0</v>
      </c>
      <c r="H223" s="80">
        <f t="shared" si="66"/>
        <v>0</v>
      </c>
      <c r="I223" s="81">
        <f t="shared" si="67"/>
        <v>0</v>
      </c>
      <c r="J223" s="82"/>
      <c r="K223" s="83"/>
      <c r="L223" s="84">
        <f t="shared" si="68"/>
        <v>0</v>
      </c>
      <c r="M223" s="65"/>
      <c r="N223" s="65"/>
      <c r="O223" s="65"/>
      <c r="P223" s="65"/>
      <c r="Q223" s="65"/>
      <c r="R223" s="65"/>
      <c r="S223" s="65"/>
      <c r="T223" s="65"/>
      <c r="U223" s="65"/>
      <c r="V223" s="65"/>
      <c r="W223" s="65"/>
      <c r="X223" s="65"/>
      <c r="Y223" s="65"/>
      <c r="Z223" s="66"/>
      <c r="AA223" s="66"/>
      <c r="AB223" s="66"/>
    </row>
    <row r="224" hidden="1" outlineLevel="1">
      <c r="A224" s="71">
        <v>46217.0</v>
      </c>
      <c r="B224" s="74">
        <v>0.1</v>
      </c>
      <c r="C224" s="75">
        <v>0.1</v>
      </c>
      <c r="D224" s="76">
        <v>0.05</v>
      </c>
      <c r="E224" s="77">
        <v>3.0</v>
      </c>
      <c r="F224" s="78">
        <v>1000.0</v>
      </c>
      <c r="G224" s="79">
        <f t="shared" si="65"/>
        <v>0</v>
      </c>
      <c r="H224" s="80">
        <f t="shared" si="66"/>
        <v>0</v>
      </c>
      <c r="I224" s="81">
        <f t="shared" si="67"/>
        <v>0</v>
      </c>
      <c r="J224" s="82"/>
      <c r="K224" s="83"/>
      <c r="L224" s="84">
        <f t="shared" si="68"/>
        <v>0</v>
      </c>
      <c r="M224" s="65"/>
      <c r="N224" s="65"/>
      <c r="O224" s="65"/>
      <c r="P224" s="65"/>
      <c r="Q224" s="65"/>
      <c r="R224" s="65"/>
      <c r="S224" s="65"/>
      <c r="T224" s="65"/>
      <c r="U224" s="65"/>
      <c r="V224" s="65"/>
      <c r="W224" s="65"/>
      <c r="X224" s="65"/>
      <c r="Y224" s="65"/>
      <c r="Z224" s="66"/>
      <c r="AA224" s="66"/>
      <c r="AB224" s="66"/>
    </row>
    <row r="225" hidden="1" outlineLevel="1">
      <c r="A225" s="71">
        <v>46218.0</v>
      </c>
      <c r="B225" s="74">
        <v>0.1</v>
      </c>
      <c r="C225" s="75">
        <v>0.1</v>
      </c>
      <c r="D225" s="76">
        <v>0.05</v>
      </c>
      <c r="E225" s="77">
        <v>3.0</v>
      </c>
      <c r="F225" s="78">
        <v>1000.0</v>
      </c>
      <c r="G225" s="79">
        <f t="shared" si="65"/>
        <v>0</v>
      </c>
      <c r="H225" s="80">
        <f t="shared" si="66"/>
        <v>0</v>
      </c>
      <c r="I225" s="81">
        <f t="shared" si="67"/>
        <v>0</v>
      </c>
      <c r="J225" s="82"/>
      <c r="K225" s="83"/>
      <c r="L225" s="84">
        <f t="shared" si="68"/>
        <v>0</v>
      </c>
      <c r="M225" s="65"/>
      <c r="N225" s="65"/>
      <c r="O225" s="65"/>
      <c r="P225" s="65"/>
      <c r="Q225" s="65"/>
      <c r="R225" s="65"/>
      <c r="S225" s="65"/>
      <c r="T225" s="65"/>
      <c r="U225" s="65"/>
      <c r="V225" s="65"/>
      <c r="W225" s="65"/>
      <c r="X225" s="65"/>
      <c r="Y225" s="65"/>
      <c r="Z225" s="66"/>
      <c r="AA225" s="66"/>
      <c r="AB225" s="66"/>
    </row>
    <row r="226" hidden="1" outlineLevel="1">
      <c r="A226" s="71">
        <v>46219.0</v>
      </c>
      <c r="B226" s="74">
        <v>0.1</v>
      </c>
      <c r="C226" s="75">
        <v>0.1</v>
      </c>
      <c r="D226" s="76">
        <v>0.05</v>
      </c>
      <c r="E226" s="77">
        <v>3.0</v>
      </c>
      <c r="F226" s="78">
        <v>1000.0</v>
      </c>
      <c r="G226" s="79">
        <f t="shared" si="65"/>
        <v>0</v>
      </c>
      <c r="H226" s="80">
        <f t="shared" si="66"/>
        <v>0</v>
      </c>
      <c r="I226" s="81">
        <f t="shared" si="67"/>
        <v>0</v>
      </c>
      <c r="J226" s="82"/>
      <c r="K226" s="83"/>
      <c r="L226" s="84">
        <f t="shared" si="68"/>
        <v>0</v>
      </c>
      <c r="M226" s="65"/>
      <c r="N226" s="65"/>
      <c r="O226" s="65"/>
      <c r="P226" s="65"/>
      <c r="Q226" s="65"/>
      <c r="R226" s="65"/>
      <c r="S226" s="65"/>
      <c r="T226" s="65"/>
      <c r="U226" s="65"/>
      <c r="V226" s="65"/>
      <c r="W226" s="65"/>
      <c r="X226" s="65"/>
      <c r="Y226" s="65"/>
      <c r="Z226" s="66"/>
      <c r="AA226" s="66"/>
      <c r="AB226" s="66"/>
    </row>
    <row r="227" hidden="1" outlineLevel="1">
      <c r="A227" s="71">
        <v>46220.0</v>
      </c>
      <c r="B227" s="74">
        <v>0.1</v>
      </c>
      <c r="C227" s="75">
        <v>0.1</v>
      </c>
      <c r="D227" s="76">
        <v>0.05</v>
      </c>
      <c r="E227" s="77">
        <v>3.0</v>
      </c>
      <c r="F227" s="78">
        <v>1000.0</v>
      </c>
      <c r="G227" s="79">
        <f t="shared" si="65"/>
        <v>0</v>
      </c>
      <c r="H227" s="80">
        <f t="shared" si="66"/>
        <v>0</v>
      </c>
      <c r="I227" s="81">
        <f t="shared" si="67"/>
        <v>0</v>
      </c>
      <c r="J227" s="82"/>
      <c r="K227" s="83"/>
      <c r="L227" s="84">
        <f t="shared" si="68"/>
        <v>0</v>
      </c>
      <c r="M227" s="65"/>
      <c r="N227" s="65"/>
      <c r="O227" s="65"/>
      <c r="P227" s="65"/>
      <c r="Q227" s="65"/>
      <c r="R227" s="65"/>
      <c r="S227" s="65"/>
      <c r="T227" s="65"/>
      <c r="U227" s="65"/>
      <c r="V227" s="65"/>
      <c r="W227" s="65"/>
      <c r="X227" s="65"/>
      <c r="Y227" s="65"/>
      <c r="Z227" s="66"/>
      <c r="AA227" s="66"/>
      <c r="AB227" s="66"/>
    </row>
    <row r="228" hidden="1" outlineLevel="1">
      <c r="A228" s="71">
        <v>46221.0</v>
      </c>
      <c r="B228" s="74">
        <v>0.1</v>
      </c>
      <c r="C228" s="75">
        <v>0.1</v>
      </c>
      <c r="D228" s="76">
        <v>0.05</v>
      </c>
      <c r="E228" s="77">
        <v>3.0</v>
      </c>
      <c r="F228" s="78">
        <v>1000.0</v>
      </c>
      <c r="G228" s="79">
        <f t="shared" si="65"/>
        <v>0</v>
      </c>
      <c r="H228" s="80">
        <f t="shared" si="66"/>
        <v>0</v>
      </c>
      <c r="I228" s="81">
        <f t="shared" si="67"/>
        <v>0</v>
      </c>
      <c r="J228" s="82"/>
      <c r="K228" s="83"/>
      <c r="L228" s="84">
        <f t="shared" si="68"/>
        <v>0</v>
      </c>
      <c r="M228" s="65"/>
      <c r="N228" s="65"/>
      <c r="O228" s="65"/>
      <c r="P228" s="65"/>
      <c r="Q228" s="65"/>
      <c r="R228" s="65"/>
      <c r="S228" s="65"/>
      <c r="T228" s="65"/>
      <c r="U228" s="65"/>
      <c r="V228" s="65"/>
      <c r="W228" s="65"/>
      <c r="X228" s="65"/>
      <c r="Y228" s="65"/>
      <c r="Z228" s="66"/>
      <c r="AA228" s="66"/>
      <c r="AB228" s="66"/>
    </row>
    <row r="229" hidden="1" outlineLevel="1">
      <c r="A229" s="71">
        <v>46222.0</v>
      </c>
      <c r="B229" s="74">
        <v>0.1</v>
      </c>
      <c r="C229" s="75">
        <v>0.1</v>
      </c>
      <c r="D229" s="76">
        <v>0.05</v>
      </c>
      <c r="E229" s="77">
        <v>3.0</v>
      </c>
      <c r="F229" s="78">
        <v>1000.0</v>
      </c>
      <c r="G229" s="79">
        <f t="shared" si="65"/>
        <v>0</v>
      </c>
      <c r="H229" s="80">
        <f t="shared" si="66"/>
        <v>0</v>
      </c>
      <c r="I229" s="81">
        <f t="shared" si="67"/>
        <v>0</v>
      </c>
      <c r="J229" s="82"/>
      <c r="K229" s="83"/>
      <c r="L229" s="84">
        <f t="shared" si="68"/>
        <v>0</v>
      </c>
      <c r="M229" s="65"/>
      <c r="N229" s="65"/>
      <c r="O229" s="65"/>
      <c r="P229" s="65"/>
      <c r="Q229" s="65"/>
      <c r="R229" s="65"/>
      <c r="S229" s="65"/>
      <c r="T229" s="65"/>
      <c r="U229" s="65"/>
      <c r="V229" s="65"/>
      <c r="W229" s="65"/>
      <c r="X229" s="65"/>
      <c r="Y229" s="65"/>
      <c r="Z229" s="66"/>
      <c r="AA229" s="66"/>
      <c r="AB229" s="66"/>
    </row>
    <row r="230" hidden="1" outlineLevel="1">
      <c r="A230" s="71">
        <v>46223.0</v>
      </c>
      <c r="B230" s="74">
        <v>0.1</v>
      </c>
      <c r="C230" s="75">
        <v>0.1</v>
      </c>
      <c r="D230" s="76">
        <v>0.05</v>
      </c>
      <c r="E230" s="77">
        <v>3.0</v>
      </c>
      <c r="F230" s="78">
        <v>1000.0</v>
      </c>
      <c r="G230" s="79">
        <f t="shared" si="65"/>
        <v>0</v>
      </c>
      <c r="H230" s="80">
        <f t="shared" si="66"/>
        <v>0</v>
      </c>
      <c r="I230" s="81">
        <f t="shared" si="67"/>
        <v>0</v>
      </c>
      <c r="J230" s="82"/>
      <c r="K230" s="83"/>
      <c r="L230" s="84">
        <f t="shared" si="68"/>
        <v>0</v>
      </c>
      <c r="M230" s="65"/>
      <c r="N230" s="65"/>
      <c r="O230" s="65"/>
      <c r="P230" s="65"/>
      <c r="Q230" s="65"/>
      <c r="R230" s="65"/>
      <c r="S230" s="65"/>
      <c r="T230" s="65"/>
      <c r="U230" s="65"/>
      <c r="V230" s="65"/>
      <c r="W230" s="65"/>
      <c r="X230" s="65"/>
      <c r="Y230" s="65"/>
      <c r="Z230" s="66"/>
      <c r="AA230" s="66"/>
      <c r="AB230" s="66"/>
    </row>
    <row r="231" hidden="1" outlineLevel="1">
      <c r="A231" s="71">
        <v>46224.0</v>
      </c>
      <c r="B231" s="74">
        <v>0.1</v>
      </c>
      <c r="C231" s="75">
        <v>0.1</v>
      </c>
      <c r="D231" s="76">
        <v>0.05</v>
      </c>
      <c r="E231" s="77">
        <v>3.0</v>
      </c>
      <c r="F231" s="78">
        <v>1000.0</v>
      </c>
      <c r="G231" s="79">
        <f t="shared" si="65"/>
        <v>0</v>
      </c>
      <c r="H231" s="80">
        <f t="shared" si="66"/>
        <v>0</v>
      </c>
      <c r="I231" s="81">
        <f t="shared" si="67"/>
        <v>0</v>
      </c>
      <c r="J231" s="82"/>
      <c r="K231" s="83"/>
      <c r="L231" s="84">
        <f t="shared" si="68"/>
        <v>0</v>
      </c>
      <c r="M231" s="65"/>
      <c r="N231" s="65"/>
      <c r="O231" s="65"/>
      <c r="P231" s="65"/>
      <c r="Q231" s="65"/>
      <c r="R231" s="65"/>
      <c r="S231" s="65"/>
      <c r="T231" s="65"/>
      <c r="U231" s="65"/>
      <c r="V231" s="65"/>
      <c r="W231" s="65"/>
      <c r="X231" s="65"/>
      <c r="Y231" s="65"/>
      <c r="Z231" s="66"/>
      <c r="AA231" s="66"/>
      <c r="AB231" s="66"/>
    </row>
    <row r="232" hidden="1" outlineLevel="1">
      <c r="A232" s="71">
        <v>46225.0</v>
      </c>
      <c r="B232" s="74">
        <v>0.1</v>
      </c>
      <c r="C232" s="75">
        <v>0.1</v>
      </c>
      <c r="D232" s="76">
        <v>0.05</v>
      </c>
      <c r="E232" s="77">
        <v>3.0</v>
      </c>
      <c r="F232" s="78">
        <v>1000.0</v>
      </c>
      <c r="G232" s="79">
        <f t="shared" si="65"/>
        <v>0</v>
      </c>
      <c r="H232" s="80">
        <f t="shared" si="66"/>
        <v>0</v>
      </c>
      <c r="I232" s="81">
        <f t="shared" si="67"/>
        <v>0</v>
      </c>
      <c r="J232" s="82"/>
      <c r="K232" s="83"/>
      <c r="L232" s="84">
        <f t="shared" si="68"/>
        <v>0</v>
      </c>
      <c r="M232" s="65"/>
      <c r="N232" s="65"/>
      <c r="O232" s="65"/>
      <c r="P232" s="65"/>
      <c r="Q232" s="65"/>
      <c r="R232" s="65"/>
      <c r="S232" s="65"/>
      <c r="T232" s="65"/>
      <c r="U232" s="65"/>
      <c r="V232" s="65"/>
      <c r="W232" s="65"/>
      <c r="X232" s="65"/>
      <c r="Y232" s="65"/>
      <c r="Z232" s="66"/>
      <c r="AA232" s="66"/>
      <c r="AB232" s="66"/>
    </row>
    <row r="233" hidden="1" outlineLevel="1">
      <c r="A233" s="71">
        <v>46226.0</v>
      </c>
      <c r="B233" s="74">
        <v>0.1</v>
      </c>
      <c r="C233" s="75">
        <v>0.1</v>
      </c>
      <c r="D233" s="76">
        <v>0.05</v>
      </c>
      <c r="E233" s="77">
        <v>3.0</v>
      </c>
      <c r="F233" s="78">
        <v>1000.0</v>
      </c>
      <c r="G233" s="79">
        <f t="shared" si="65"/>
        <v>0</v>
      </c>
      <c r="H233" s="80">
        <f t="shared" si="66"/>
        <v>0</v>
      </c>
      <c r="I233" s="81">
        <f t="shared" si="67"/>
        <v>0</v>
      </c>
      <c r="J233" s="82"/>
      <c r="K233" s="83"/>
      <c r="L233" s="84">
        <f t="shared" si="68"/>
        <v>0</v>
      </c>
      <c r="M233" s="65"/>
      <c r="N233" s="65"/>
      <c r="O233" s="65"/>
      <c r="P233" s="65"/>
      <c r="Q233" s="65"/>
      <c r="R233" s="65"/>
      <c r="S233" s="65"/>
      <c r="T233" s="65"/>
      <c r="U233" s="65"/>
      <c r="V233" s="65"/>
      <c r="W233" s="65"/>
      <c r="X233" s="65"/>
      <c r="Y233" s="65"/>
      <c r="Z233" s="66"/>
      <c r="AA233" s="66"/>
      <c r="AB233" s="66"/>
    </row>
    <row r="234" hidden="1" outlineLevel="1">
      <c r="A234" s="71">
        <v>46227.0</v>
      </c>
      <c r="B234" s="74">
        <v>0.1</v>
      </c>
      <c r="C234" s="75">
        <v>0.1</v>
      </c>
      <c r="D234" s="76">
        <v>0.05</v>
      </c>
      <c r="E234" s="77">
        <v>3.0</v>
      </c>
      <c r="F234" s="78">
        <v>1000.0</v>
      </c>
      <c r="G234" s="79">
        <f t="shared" si="65"/>
        <v>0</v>
      </c>
      <c r="H234" s="80">
        <f t="shared" si="66"/>
        <v>0</v>
      </c>
      <c r="I234" s="81">
        <f t="shared" si="67"/>
        <v>0</v>
      </c>
      <c r="J234" s="82"/>
      <c r="K234" s="83"/>
      <c r="L234" s="84">
        <f t="shared" si="68"/>
        <v>0</v>
      </c>
      <c r="M234" s="65"/>
      <c r="N234" s="65"/>
      <c r="O234" s="65"/>
      <c r="P234" s="65"/>
      <c r="Q234" s="65"/>
      <c r="R234" s="65"/>
      <c r="S234" s="65"/>
      <c r="T234" s="65"/>
      <c r="U234" s="65"/>
      <c r="V234" s="65"/>
      <c r="W234" s="65"/>
      <c r="X234" s="65"/>
      <c r="Y234" s="65"/>
      <c r="Z234" s="66"/>
      <c r="AA234" s="66"/>
      <c r="AB234" s="66"/>
    </row>
    <row r="235" hidden="1" outlineLevel="1">
      <c r="A235" s="71">
        <v>46228.0</v>
      </c>
      <c r="B235" s="74">
        <v>0.1</v>
      </c>
      <c r="C235" s="75">
        <v>0.1</v>
      </c>
      <c r="D235" s="76">
        <v>0.05</v>
      </c>
      <c r="E235" s="77">
        <v>3.0</v>
      </c>
      <c r="F235" s="78">
        <v>1000.0</v>
      </c>
      <c r="G235" s="79">
        <f t="shared" si="65"/>
        <v>0</v>
      </c>
      <c r="H235" s="80">
        <f t="shared" si="66"/>
        <v>0</v>
      </c>
      <c r="I235" s="81">
        <f t="shared" si="67"/>
        <v>0</v>
      </c>
      <c r="J235" s="82"/>
      <c r="K235" s="83"/>
      <c r="L235" s="84">
        <f t="shared" si="68"/>
        <v>0</v>
      </c>
      <c r="M235" s="65"/>
      <c r="N235" s="65"/>
      <c r="O235" s="65"/>
      <c r="P235" s="65"/>
      <c r="Q235" s="65"/>
      <c r="R235" s="65"/>
      <c r="S235" s="65"/>
      <c r="T235" s="65"/>
      <c r="U235" s="65"/>
      <c r="V235" s="65"/>
      <c r="W235" s="65"/>
      <c r="X235" s="65"/>
      <c r="Y235" s="65"/>
      <c r="Z235" s="66"/>
      <c r="AA235" s="66"/>
      <c r="AB235" s="66"/>
    </row>
    <row r="236" hidden="1" outlineLevel="1">
      <c r="A236" s="71">
        <v>46229.0</v>
      </c>
      <c r="B236" s="74">
        <v>0.1</v>
      </c>
      <c r="C236" s="75">
        <v>0.1</v>
      </c>
      <c r="D236" s="76">
        <v>0.05</v>
      </c>
      <c r="E236" s="77">
        <v>3.0</v>
      </c>
      <c r="F236" s="78">
        <v>1000.0</v>
      </c>
      <c r="G236" s="79">
        <f t="shared" si="65"/>
        <v>0</v>
      </c>
      <c r="H236" s="80">
        <f t="shared" si="66"/>
        <v>0</v>
      </c>
      <c r="I236" s="81">
        <f t="shared" si="67"/>
        <v>0</v>
      </c>
      <c r="J236" s="82"/>
      <c r="K236" s="83"/>
      <c r="L236" s="84">
        <f t="shared" si="68"/>
        <v>0</v>
      </c>
      <c r="M236" s="65"/>
      <c r="N236" s="65"/>
      <c r="O236" s="65"/>
      <c r="P236" s="65"/>
      <c r="Q236" s="65"/>
      <c r="R236" s="65"/>
      <c r="S236" s="65"/>
      <c r="T236" s="65"/>
      <c r="U236" s="65"/>
      <c r="V236" s="65"/>
      <c r="W236" s="65"/>
      <c r="X236" s="65"/>
      <c r="Y236" s="65"/>
      <c r="Z236" s="66"/>
      <c r="AA236" s="66"/>
      <c r="AB236" s="66"/>
    </row>
    <row r="237" hidden="1" outlineLevel="1">
      <c r="A237" s="71">
        <v>46230.0</v>
      </c>
      <c r="B237" s="74">
        <v>0.1</v>
      </c>
      <c r="C237" s="75">
        <v>0.1</v>
      </c>
      <c r="D237" s="76">
        <v>0.05</v>
      </c>
      <c r="E237" s="77">
        <v>3.0</v>
      </c>
      <c r="F237" s="78">
        <v>1000.0</v>
      </c>
      <c r="G237" s="79">
        <f t="shared" si="65"/>
        <v>0</v>
      </c>
      <c r="H237" s="80">
        <f t="shared" si="66"/>
        <v>0</v>
      </c>
      <c r="I237" s="81">
        <f t="shared" si="67"/>
        <v>0</v>
      </c>
      <c r="J237" s="82"/>
      <c r="K237" s="83"/>
      <c r="L237" s="84">
        <f t="shared" si="68"/>
        <v>0</v>
      </c>
      <c r="M237" s="65"/>
      <c r="N237" s="65"/>
      <c r="O237" s="65"/>
      <c r="P237" s="65"/>
      <c r="Q237" s="65"/>
      <c r="R237" s="65"/>
      <c r="S237" s="65"/>
      <c r="T237" s="65"/>
      <c r="U237" s="65"/>
      <c r="V237" s="65"/>
      <c r="W237" s="65"/>
      <c r="X237" s="65"/>
      <c r="Y237" s="65"/>
      <c r="Z237" s="66"/>
      <c r="AA237" s="66"/>
      <c r="AB237" s="66"/>
    </row>
    <row r="238" hidden="1" outlineLevel="1">
      <c r="A238" s="71">
        <v>46231.0</v>
      </c>
      <c r="B238" s="74">
        <v>0.1</v>
      </c>
      <c r="C238" s="75">
        <v>0.1</v>
      </c>
      <c r="D238" s="76">
        <v>0.05</v>
      </c>
      <c r="E238" s="77">
        <v>3.0</v>
      </c>
      <c r="F238" s="78">
        <v>1000.0</v>
      </c>
      <c r="G238" s="79">
        <f t="shared" si="65"/>
        <v>0</v>
      </c>
      <c r="H238" s="80">
        <f t="shared" si="66"/>
        <v>0</v>
      </c>
      <c r="I238" s="81">
        <f t="shared" si="67"/>
        <v>0</v>
      </c>
      <c r="J238" s="82"/>
      <c r="K238" s="83"/>
      <c r="L238" s="84">
        <f t="shared" si="68"/>
        <v>0</v>
      </c>
      <c r="M238" s="65"/>
      <c r="N238" s="65"/>
      <c r="O238" s="65"/>
      <c r="P238" s="65"/>
      <c r="Q238" s="65"/>
      <c r="R238" s="65"/>
      <c r="S238" s="65"/>
      <c r="T238" s="65"/>
      <c r="U238" s="65"/>
      <c r="V238" s="65"/>
      <c r="W238" s="65"/>
      <c r="X238" s="65"/>
      <c r="Y238" s="65"/>
      <c r="Z238" s="66"/>
      <c r="AA238" s="66"/>
      <c r="AB238" s="66"/>
    </row>
    <row r="239" hidden="1" outlineLevel="1">
      <c r="A239" s="71">
        <v>46232.0</v>
      </c>
      <c r="B239" s="74">
        <v>0.1</v>
      </c>
      <c r="C239" s="75">
        <v>0.1</v>
      </c>
      <c r="D239" s="76">
        <v>0.05</v>
      </c>
      <c r="E239" s="77">
        <v>3.0</v>
      </c>
      <c r="F239" s="78">
        <v>1000.0</v>
      </c>
      <c r="G239" s="79">
        <f t="shared" si="65"/>
        <v>0</v>
      </c>
      <c r="H239" s="80">
        <f t="shared" si="66"/>
        <v>0</v>
      </c>
      <c r="I239" s="81">
        <f t="shared" si="67"/>
        <v>0</v>
      </c>
      <c r="J239" s="82"/>
      <c r="K239" s="83"/>
      <c r="L239" s="84">
        <f t="shared" si="68"/>
        <v>0</v>
      </c>
      <c r="M239" s="65"/>
      <c r="N239" s="65"/>
      <c r="O239" s="65"/>
      <c r="P239" s="65"/>
      <c r="Q239" s="65"/>
      <c r="R239" s="65"/>
      <c r="S239" s="65"/>
      <c r="T239" s="65"/>
      <c r="U239" s="65"/>
      <c r="V239" s="65"/>
      <c r="W239" s="65"/>
      <c r="X239" s="65"/>
      <c r="Y239" s="65"/>
      <c r="Z239" s="66"/>
      <c r="AA239" s="66"/>
      <c r="AB239" s="66"/>
    </row>
    <row r="240" hidden="1" outlineLevel="1">
      <c r="A240" s="71">
        <v>46233.0</v>
      </c>
      <c r="B240" s="74">
        <v>0.1</v>
      </c>
      <c r="C240" s="75">
        <v>0.1</v>
      </c>
      <c r="D240" s="76">
        <v>0.05</v>
      </c>
      <c r="E240" s="77">
        <v>3.0</v>
      </c>
      <c r="F240" s="78">
        <v>1000.0</v>
      </c>
      <c r="G240" s="79">
        <f t="shared" si="65"/>
        <v>0</v>
      </c>
      <c r="H240" s="80">
        <f t="shared" si="66"/>
        <v>0</v>
      </c>
      <c r="I240" s="81">
        <f t="shared" si="67"/>
        <v>0</v>
      </c>
      <c r="J240" s="82"/>
      <c r="K240" s="83"/>
      <c r="L240" s="84">
        <f t="shared" si="68"/>
        <v>0</v>
      </c>
      <c r="M240" s="65"/>
      <c r="N240" s="65"/>
      <c r="O240" s="65"/>
      <c r="P240" s="65"/>
      <c r="Q240" s="65"/>
      <c r="R240" s="65"/>
      <c r="S240" s="65"/>
      <c r="T240" s="65"/>
      <c r="U240" s="65"/>
      <c r="V240" s="65"/>
      <c r="W240" s="65"/>
      <c r="X240" s="65"/>
      <c r="Y240" s="65"/>
      <c r="Z240" s="66"/>
      <c r="AA240" s="66"/>
      <c r="AB240" s="66"/>
    </row>
    <row r="241" hidden="1" outlineLevel="1">
      <c r="A241" s="71">
        <v>46234.0</v>
      </c>
      <c r="B241" s="74">
        <v>0.1</v>
      </c>
      <c r="C241" s="75">
        <v>0.1</v>
      </c>
      <c r="D241" s="76">
        <v>0.05</v>
      </c>
      <c r="E241" s="77">
        <v>3.0</v>
      </c>
      <c r="F241" s="78">
        <v>1000.0</v>
      </c>
      <c r="G241" s="79">
        <f t="shared" si="65"/>
        <v>0</v>
      </c>
      <c r="H241" s="80">
        <f t="shared" si="66"/>
        <v>0</v>
      </c>
      <c r="I241" s="81">
        <f t="shared" si="67"/>
        <v>0</v>
      </c>
      <c r="J241" s="82"/>
      <c r="K241" s="83"/>
      <c r="L241" s="84">
        <f t="shared" si="68"/>
        <v>0</v>
      </c>
      <c r="M241" s="65"/>
      <c r="N241" s="65"/>
      <c r="O241" s="65"/>
      <c r="P241" s="65"/>
      <c r="Q241" s="65"/>
      <c r="R241" s="65"/>
      <c r="S241" s="65"/>
      <c r="T241" s="65"/>
      <c r="U241" s="65"/>
      <c r="V241" s="65"/>
      <c r="W241" s="65"/>
      <c r="X241" s="65"/>
      <c r="Y241" s="65"/>
      <c r="Z241" s="66"/>
      <c r="AA241" s="66"/>
      <c r="AB241" s="66"/>
    </row>
    <row r="242" hidden="1" outlineLevel="1">
      <c r="A242" s="85" t="s">
        <v>41</v>
      </c>
      <c r="C242" s="86">
        <f>SUM(C211:C241)</f>
        <v>3.1</v>
      </c>
      <c r="D242" s="87"/>
      <c r="E242" s="87"/>
      <c r="F242" s="87"/>
      <c r="G242" s="87"/>
      <c r="H242" s="87"/>
      <c r="I242" s="88">
        <f t="shared" ref="I242:K242" si="69">SUM(I211:I241)</f>
        <v>0</v>
      </c>
      <c r="J242" s="89">
        <f t="shared" si="69"/>
        <v>0</v>
      </c>
      <c r="K242" s="87">
        <f t="shared" si="69"/>
        <v>0</v>
      </c>
      <c r="L242" s="89">
        <f>L241</f>
        <v>0</v>
      </c>
      <c r="M242" s="65"/>
      <c r="N242" s="65"/>
      <c r="O242" s="65"/>
      <c r="P242" s="65"/>
      <c r="Q242" s="65"/>
      <c r="R242" s="65"/>
      <c r="S242" s="65"/>
      <c r="T242" s="65"/>
      <c r="U242" s="65"/>
      <c r="V242" s="65"/>
      <c r="W242" s="65"/>
      <c r="X242" s="65"/>
      <c r="Y242" s="65"/>
      <c r="Z242" s="66"/>
      <c r="AA242" s="66"/>
      <c r="AB242" s="66"/>
    </row>
    <row r="243">
      <c r="A243" s="95"/>
      <c r="B243" s="92"/>
      <c r="C243" s="92"/>
      <c r="D243" s="92"/>
      <c r="E243" s="92"/>
      <c r="F243" s="92"/>
      <c r="G243" s="92"/>
      <c r="H243" s="92"/>
      <c r="I243" s="92"/>
      <c r="J243" s="92"/>
      <c r="K243" s="94">
        <f>SUM(K211:K241)</f>
        <v>0</v>
      </c>
      <c r="L243" s="92"/>
      <c r="M243" s="65"/>
      <c r="N243" s="65"/>
      <c r="O243" s="65"/>
      <c r="P243" s="65"/>
      <c r="Q243" s="65"/>
      <c r="R243" s="65"/>
      <c r="S243" s="65"/>
      <c r="T243" s="65"/>
      <c r="U243" s="65"/>
      <c r="V243" s="65"/>
      <c r="W243" s="65"/>
      <c r="X243" s="65"/>
      <c r="Y243" s="65"/>
      <c r="Z243" s="66"/>
      <c r="AA243" s="66"/>
      <c r="AB243" s="66"/>
    </row>
    <row r="244" collapsed="1">
      <c r="A244" s="57" t="s">
        <v>49</v>
      </c>
      <c r="M244" s="65"/>
      <c r="N244" s="65"/>
      <c r="O244" s="65"/>
      <c r="P244" s="65"/>
      <c r="Q244" s="65"/>
      <c r="R244" s="65"/>
      <c r="S244" s="65"/>
      <c r="T244" s="65"/>
      <c r="U244" s="65"/>
      <c r="V244" s="65"/>
      <c r="W244" s="65"/>
      <c r="X244" s="65"/>
      <c r="Y244" s="65"/>
      <c r="Z244" s="66"/>
      <c r="AA244" s="66"/>
      <c r="AB244" s="66"/>
    </row>
    <row r="245" hidden="1" outlineLevel="1">
      <c r="A245" s="71" t="s">
        <v>29</v>
      </c>
      <c r="B245" s="57" t="s">
        <v>30</v>
      </c>
      <c r="C245" s="57" t="s">
        <v>31</v>
      </c>
      <c r="D245" s="72" t="s">
        <v>32</v>
      </c>
      <c r="E245" s="72" t="s">
        <v>33</v>
      </c>
      <c r="F245" s="72" t="s">
        <v>34</v>
      </c>
      <c r="G245" s="73" t="s">
        <v>35</v>
      </c>
      <c r="H245" s="72" t="s">
        <v>36</v>
      </c>
      <c r="I245" s="57" t="s">
        <v>37</v>
      </c>
      <c r="J245" s="74" t="s">
        <v>38</v>
      </c>
      <c r="K245" s="57" t="s">
        <v>39</v>
      </c>
      <c r="L245" s="57" t="s">
        <v>40</v>
      </c>
      <c r="M245" s="65"/>
      <c r="N245" s="65"/>
      <c r="O245" s="65"/>
      <c r="P245" s="65"/>
      <c r="Q245" s="65"/>
      <c r="R245" s="65"/>
      <c r="S245" s="65"/>
      <c r="T245" s="65"/>
      <c r="U245" s="65"/>
      <c r="V245" s="65"/>
      <c r="W245" s="65"/>
      <c r="X245" s="65"/>
      <c r="Y245" s="65"/>
      <c r="Z245" s="66"/>
      <c r="AA245" s="66"/>
      <c r="AB245" s="66"/>
    </row>
    <row r="246" hidden="1" outlineLevel="1">
      <c r="A246" s="71">
        <v>46235.0</v>
      </c>
      <c r="B246" s="74">
        <v>0.1</v>
      </c>
      <c r="C246" s="75">
        <v>0.1</v>
      </c>
      <c r="D246" s="76">
        <v>0.05</v>
      </c>
      <c r="E246" s="77">
        <v>3.0</v>
      </c>
      <c r="F246" s="78">
        <v>1000.0</v>
      </c>
      <c r="G246" s="79">
        <f>L242*C246</f>
        <v>0</v>
      </c>
      <c r="H246" s="80">
        <f>L242*D246</f>
        <v>0</v>
      </c>
      <c r="I246" s="81">
        <f>(J246/L242)*100</f>
        <v>0</v>
      </c>
      <c r="J246" s="82"/>
      <c r="K246" s="83"/>
      <c r="L246" s="84">
        <f>(L242+J246)-K246</f>
        <v>0</v>
      </c>
      <c r="M246" s="65"/>
      <c r="N246" s="65"/>
      <c r="O246" s="65"/>
      <c r="P246" s="65"/>
      <c r="Q246" s="65"/>
      <c r="R246" s="65"/>
      <c r="S246" s="65"/>
      <c r="T246" s="65"/>
      <c r="U246" s="65"/>
      <c r="V246" s="65"/>
      <c r="W246" s="65"/>
      <c r="X246" s="65"/>
      <c r="Y246" s="65"/>
      <c r="Z246" s="66"/>
      <c r="AA246" s="66"/>
      <c r="AB246" s="66"/>
    </row>
    <row r="247" hidden="1" outlineLevel="1">
      <c r="A247" s="71">
        <v>46236.0</v>
      </c>
      <c r="B247" s="74">
        <v>0.1</v>
      </c>
      <c r="C247" s="75">
        <v>0.1</v>
      </c>
      <c r="D247" s="76">
        <v>0.05</v>
      </c>
      <c r="E247" s="77">
        <v>3.0</v>
      </c>
      <c r="F247" s="78">
        <v>1000.0</v>
      </c>
      <c r="G247" s="79">
        <f t="shared" ref="G247:G276" si="70">L246*C247</f>
        <v>0</v>
      </c>
      <c r="H247" s="80">
        <f t="shared" ref="H247:H276" si="71">L246*D247</f>
        <v>0</v>
      </c>
      <c r="I247" s="81">
        <f t="shared" ref="I247:I276" si="72">(J247/L246)*100</f>
        <v>0</v>
      </c>
      <c r="J247" s="82"/>
      <c r="K247" s="83"/>
      <c r="L247" s="84">
        <f t="shared" ref="L247:L276" si="73">(L246+J247)-K247</f>
        <v>0</v>
      </c>
      <c r="M247" s="65"/>
      <c r="N247" s="65"/>
      <c r="O247" s="65"/>
      <c r="P247" s="65"/>
      <c r="Q247" s="65"/>
      <c r="R247" s="65"/>
      <c r="S247" s="65"/>
      <c r="T247" s="65"/>
      <c r="U247" s="65"/>
      <c r="V247" s="65"/>
      <c r="W247" s="65"/>
      <c r="X247" s="65"/>
      <c r="Y247" s="65"/>
      <c r="Z247" s="66"/>
      <c r="AA247" s="66"/>
      <c r="AB247" s="66"/>
    </row>
    <row r="248" hidden="1" outlineLevel="1">
      <c r="A248" s="71">
        <v>46237.0</v>
      </c>
      <c r="B248" s="74">
        <v>0.1</v>
      </c>
      <c r="C248" s="75">
        <v>0.1</v>
      </c>
      <c r="D248" s="76">
        <v>0.05</v>
      </c>
      <c r="E248" s="77">
        <v>3.0</v>
      </c>
      <c r="F248" s="78">
        <v>1000.0</v>
      </c>
      <c r="G248" s="79">
        <f t="shared" si="70"/>
        <v>0</v>
      </c>
      <c r="H248" s="80">
        <f t="shared" si="71"/>
        <v>0</v>
      </c>
      <c r="I248" s="81">
        <f t="shared" si="72"/>
        <v>0</v>
      </c>
      <c r="J248" s="82"/>
      <c r="K248" s="83"/>
      <c r="L248" s="84">
        <f t="shared" si="73"/>
        <v>0</v>
      </c>
      <c r="M248" s="65"/>
      <c r="N248" s="65"/>
      <c r="O248" s="65"/>
      <c r="P248" s="65"/>
      <c r="Q248" s="65"/>
      <c r="R248" s="65"/>
      <c r="S248" s="65"/>
      <c r="T248" s="65"/>
      <c r="U248" s="65"/>
      <c r="V248" s="65"/>
      <c r="W248" s="65"/>
      <c r="X248" s="65"/>
      <c r="Y248" s="65"/>
      <c r="Z248" s="66"/>
      <c r="AA248" s="66"/>
      <c r="AB248" s="66"/>
    </row>
    <row r="249" hidden="1" outlineLevel="1">
      <c r="A249" s="71">
        <v>46238.0</v>
      </c>
      <c r="B249" s="74">
        <v>0.1</v>
      </c>
      <c r="C249" s="75">
        <v>0.1</v>
      </c>
      <c r="D249" s="76">
        <v>0.05</v>
      </c>
      <c r="E249" s="77">
        <v>3.0</v>
      </c>
      <c r="F249" s="78">
        <v>1000.0</v>
      </c>
      <c r="G249" s="79">
        <f t="shared" si="70"/>
        <v>0</v>
      </c>
      <c r="H249" s="80">
        <f t="shared" si="71"/>
        <v>0</v>
      </c>
      <c r="I249" s="81">
        <f t="shared" si="72"/>
        <v>0</v>
      </c>
      <c r="J249" s="82"/>
      <c r="K249" s="83"/>
      <c r="L249" s="84">
        <f t="shared" si="73"/>
        <v>0</v>
      </c>
      <c r="M249" s="65"/>
      <c r="N249" s="65"/>
      <c r="O249" s="65"/>
      <c r="P249" s="65"/>
      <c r="Q249" s="65"/>
      <c r="R249" s="65"/>
      <c r="S249" s="65"/>
      <c r="T249" s="65"/>
      <c r="U249" s="65"/>
      <c r="V249" s="65"/>
      <c r="W249" s="65"/>
      <c r="X249" s="65"/>
      <c r="Y249" s="65"/>
      <c r="Z249" s="66"/>
      <c r="AA249" s="66"/>
      <c r="AB249" s="66"/>
    </row>
    <row r="250" hidden="1" outlineLevel="1">
      <c r="A250" s="71">
        <v>46239.0</v>
      </c>
      <c r="B250" s="74">
        <v>0.1</v>
      </c>
      <c r="C250" s="75">
        <v>0.1</v>
      </c>
      <c r="D250" s="76">
        <v>0.05</v>
      </c>
      <c r="E250" s="77">
        <v>3.0</v>
      </c>
      <c r="F250" s="78">
        <v>1000.0</v>
      </c>
      <c r="G250" s="79">
        <f t="shared" si="70"/>
        <v>0</v>
      </c>
      <c r="H250" s="80">
        <f t="shared" si="71"/>
        <v>0</v>
      </c>
      <c r="I250" s="81">
        <f t="shared" si="72"/>
        <v>0</v>
      </c>
      <c r="J250" s="82"/>
      <c r="K250" s="83"/>
      <c r="L250" s="84">
        <f t="shared" si="73"/>
        <v>0</v>
      </c>
      <c r="M250" s="65"/>
      <c r="N250" s="65"/>
      <c r="O250" s="65"/>
      <c r="P250" s="65"/>
      <c r="Q250" s="65"/>
      <c r="R250" s="65"/>
      <c r="S250" s="65"/>
      <c r="T250" s="65"/>
      <c r="U250" s="65"/>
      <c r="V250" s="65"/>
      <c r="W250" s="65"/>
      <c r="X250" s="65"/>
      <c r="Y250" s="65"/>
      <c r="Z250" s="66"/>
      <c r="AA250" s="66"/>
      <c r="AB250" s="66"/>
    </row>
    <row r="251" hidden="1" outlineLevel="1">
      <c r="A251" s="71">
        <v>46240.0</v>
      </c>
      <c r="B251" s="74">
        <v>0.1</v>
      </c>
      <c r="C251" s="75">
        <v>0.1</v>
      </c>
      <c r="D251" s="76">
        <v>0.05</v>
      </c>
      <c r="E251" s="77">
        <v>3.0</v>
      </c>
      <c r="F251" s="78">
        <v>1000.0</v>
      </c>
      <c r="G251" s="79">
        <f t="shared" si="70"/>
        <v>0</v>
      </c>
      <c r="H251" s="80">
        <f t="shared" si="71"/>
        <v>0</v>
      </c>
      <c r="I251" s="81">
        <f t="shared" si="72"/>
        <v>0</v>
      </c>
      <c r="J251" s="82"/>
      <c r="K251" s="83"/>
      <c r="L251" s="84">
        <f t="shared" si="73"/>
        <v>0</v>
      </c>
      <c r="M251" s="65"/>
      <c r="N251" s="65"/>
      <c r="O251" s="65"/>
      <c r="P251" s="65"/>
      <c r="Q251" s="65"/>
      <c r="R251" s="65"/>
      <c r="S251" s="65"/>
      <c r="T251" s="65"/>
      <c r="U251" s="65"/>
      <c r="V251" s="65"/>
      <c r="W251" s="65"/>
      <c r="X251" s="65"/>
      <c r="Y251" s="65"/>
      <c r="Z251" s="66"/>
      <c r="AA251" s="66"/>
      <c r="AB251" s="66"/>
    </row>
    <row r="252" hidden="1" outlineLevel="1">
      <c r="A252" s="71">
        <v>46241.0</v>
      </c>
      <c r="B252" s="74">
        <v>0.1</v>
      </c>
      <c r="C252" s="75">
        <v>0.1</v>
      </c>
      <c r="D252" s="76">
        <v>0.05</v>
      </c>
      <c r="E252" s="77">
        <v>3.0</v>
      </c>
      <c r="F252" s="78">
        <v>1000.0</v>
      </c>
      <c r="G252" s="79">
        <f t="shared" si="70"/>
        <v>0</v>
      </c>
      <c r="H252" s="80">
        <f t="shared" si="71"/>
        <v>0</v>
      </c>
      <c r="I252" s="81">
        <f t="shared" si="72"/>
        <v>0</v>
      </c>
      <c r="J252" s="82"/>
      <c r="K252" s="83"/>
      <c r="L252" s="84">
        <f t="shared" si="73"/>
        <v>0</v>
      </c>
      <c r="M252" s="65"/>
      <c r="N252" s="65"/>
      <c r="O252" s="65"/>
      <c r="P252" s="65"/>
      <c r="Q252" s="65"/>
      <c r="R252" s="65"/>
      <c r="S252" s="65"/>
      <c r="T252" s="65"/>
      <c r="U252" s="65"/>
      <c r="V252" s="65"/>
      <c r="W252" s="65"/>
      <c r="X252" s="65"/>
      <c r="Y252" s="65"/>
      <c r="Z252" s="66"/>
      <c r="AA252" s="66"/>
      <c r="AB252" s="66"/>
    </row>
    <row r="253" hidden="1" outlineLevel="1">
      <c r="A253" s="71">
        <v>46242.0</v>
      </c>
      <c r="B253" s="74">
        <v>0.1</v>
      </c>
      <c r="C253" s="75">
        <v>0.1</v>
      </c>
      <c r="D253" s="76">
        <v>0.05</v>
      </c>
      <c r="E253" s="77">
        <v>3.0</v>
      </c>
      <c r="F253" s="78">
        <v>1000.0</v>
      </c>
      <c r="G253" s="79">
        <f t="shared" si="70"/>
        <v>0</v>
      </c>
      <c r="H253" s="80">
        <f t="shared" si="71"/>
        <v>0</v>
      </c>
      <c r="I253" s="81">
        <f t="shared" si="72"/>
        <v>0</v>
      </c>
      <c r="J253" s="82"/>
      <c r="K253" s="83"/>
      <c r="L253" s="84">
        <f t="shared" si="73"/>
        <v>0</v>
      </c>
      <c r="M253" s="65"/>
      <c r="N253" s="65"/>
      <c r="O253" s="65"/>
      <c r="P253" s="65"/>
      <c r="Q253" s="65"/>
      <c r="R253" s="65"/>
      <c r="S253" s="65"/>
      <c r="T253" s="65"/>
      <c r="U253" s="65"/>
      <c r="V253" s="65"/>
      <c r="W253" s="65"/>
      <c r="X253" s="65"/>
      <c r="Y253" s="65"/>
      <c r="Z253" s="66"/>
      <c r="AA253" s="66"/>
      <c r="AB253" s="66"/>
    </row>
    <row r="254" hidden="1" outlineLevel="1">
      <c r="A254" s="71">
        <v>46243.0</v>
      </c>
      <c r="B254" s="74">
        <v>0.1</v>
      </c>
      <c r="C254" s="75">
        <v>0.1</v>
      </c>
      <c r="D254" s="76">
        <v>0.05</v>
      </c>
      <c r="E254" s="77">
        <v>3.0</v>
      </c>
      <c r="F254" s="78">
        <v>1000.0</v>
      </c>
      <c r="G254" s="79">
        <f t="shared" si="70"/>
        <v>0</v>
      </c>
      <c r="H254" s="80">
        <f t="shared" si="71"/>
        <v>0</v>
      </c>
      <c r="I254" s="81">
        <f t="shared" si="72"/>
        <v>0</v>
      </c>
      <c r="J254" s="82"/>
      <c r="K254" s="83"/>
      <c r="L254" s="84">
        <f t="shared" si="73"/>
        <v>0</v>
      </c>
      <c r="M254" s="65"/>
      <c r="N254" s="65"/>
      <c r="O254" s="65"/>
      <c r="P254" s="65"/>
      <c r="Q254" s="65"/>
      <c r="R254" s="65"/>
      <c r="S254" s="65"/>
      <c r="T254" s="65"/>
      <c r="U254" s="65"/>
      <c r="V254" s="65"/>
      <c r="W254" s="65"/>
      <c r="X254" s="65"/>
      <c r="Y254" s="65"/>
      <c r="Z254" s="66"/>
      <c r="AA254" s="66"/>
      <c r="AB254" s="66"/>
    </row>
    <row r="255" hidden="1" outlineLevel="1">
      <c r="A255" s="71">
        <v>46244.0</v>
      </c>
      <c r="B255" s="74">
        <v>0.1</v>
      </c>
      <c r="C255" s="75">
        <v>0.1</v>
      </c>
      <c r="D255" s="76">
        <v>0.05</v>
      </c>
      <c r="E255" s="77">
        <v>3.0</v>
      </c>
      <c r="F255" s="78">
        <v>1000.0</v>
      </c>
      <c r="G255" s="79">
        <f t="shared" si="70"/>
        <v>0</v>
      </c>
      <c r="H255" s="80">
        <f t="shared" si="71"/>
        <v>0</v>
      </c>
      <c r="I255" s="81">
        <f t="shared" si="72"/>
        <v>0</v>
      </c>
      <c r="J255" s="82"/>
      <c r="K255" s="83"/>
      <c r="L255" s="84">
        <f t="shared" si="73"/>
        <v>0</v>
      </c>
      <c r="M255" s="65"/>
      <c r="N255" s="65"/>
      <c r="O255" s="65"/>
      <c r="P255" s="65"/>
      <c r="Q255" s="65"/>
      <c r="R255" s="65"/>
      <c r="S255" s="65"/>
      <c r="T255" s="65"/>
      <c r="U255" s="65"/>
      <c r="V255" s="65"/>
      <c r="W255" s="65"/>
      <c r="X255" s="65"/>
      <c r="Y255" s="65"/>
      <c r="Z255" s="66"/>
      <c r="AA255" s="66"/>
      <c r="AB255" s="66"/>
    </row>
    <row r="256" hidden="1" outlineLevel="1">
      <c r="A256" s="71">
        <v>46245.0</v>
      </c>
      <c r="B256" s="74">
        <v>0.1</v>
      </c>
      <c r="C256" s="75">
        <v>0.1</v>
      </c>
      <c r="D256" s="76">
        <v>0.05</v>
      </c>
      <c r="E256" s="77">
        <v>3.0</v>
      </c>
      <c r="F256" s="78">
        <v>1000.0</v>
      </c>
      <c r="G256" s="79">
        <f t="shared" si="70"/>
        <v>0</v>
      </c>
      <c r="H256" s="80">
        <f t="shared" si="71"/>
        <v>0</v>
      </c>
      <c r="I256" s="81">
        <f t="shared" si="72"/>
        <v>0</v>
      </c>
      <c r="J256" s="82"/>
      <c r="K256" s="83"/>
      <c r="L256" s="84">
        <f t="shared" si="73"/>
        <v>0</v>
      </c>
      <c r="M256" s="65"/>
      <c r="N256" s="65"/>
      <c r="O256" s="65"/>
      <c r="P256" s="65"/>
      <c r="Q256" s="65"/>
      <c r="R256" s="65"/>
      <c r="S256" s="65"/>
      <c r="T256" s="65"/>
      <c r="U256" s="65"/>
      <c r="V256" s="65"/>
      <c r="W256" s="65"/>
      <c r="X256" s="65"/>
      <c r="Y256" s="65"/>
      <c r="Z256" s="66"/>
      <c r="AA256" s="66"/>
      <c r="AB256" s="66"/>
    </row>
    <row r="257" hidden="1" outlineLevel="1">
      <c r="A257" s="71">
        <v>46246.0</v>
      </c>
      <c r="B257" s="74">
        <v>0.1</v>
      </c>
      <c r="C257" s="75">
        <v>0.1</v>
      </c>
      <c r="D257" s="76">
        <v>0.05</v>
      </c>
      <c r="E257" s="77">
        <v>3.0</v>
      </c>
      <c r="F257" s="78">
        <v>1000.0</v>
      </c>
      <c r="G257" s="79">
        <f t="shared" si="70"/>
        <v>0</v>
      </c>
      <c r="H257" s="80">
        <f t="shared" si="71"/>
        <v>0</v>
      </c>
      <c r="I257" s="81">
        <f t="shared" si="72"/>
        <v>0</v>
      </c>
      <c r="J257" s="82"/>
      <c r="K257" s="83"/>
      <c r="L257" s="84">
        <f t="shared" si="73"/>
        <v>0</v>
      </c>
      <c r="M257" s="65"/>
      <c r="N257" s="65"/>
      <c r="O257" s="65"/>
      <c r="P257" s="65"/>
      <c r="Q257" s="65"/>
      <c r="R257" s="65"/>
      <c r="S257" s="65"/>
      <c r="T257" s="65"/>
      <c r="U257" s="65"/>
      <c r="V257" s="65"/>
      <c r="W257" s="65"/>
      <c r="X257" s="65"/>
      <c r="Y257" s="65"/>
      <c r="Z257" s="66"/>
      <c r="AA257" s="66"/>
      <c r="AB257" s="66"/>
    </row>
    <row r="258" hidden="1" outlineLevel="1">
      <c r="A258" s="71">
        <v>46247.0</v>
      </c>
      <c r="B258" s="74">
        <v>0.1</v>
      </c>
      <c r="C258" s="75">
        <v>0.1</v>
      </c>
      <c r="D258" s="76">
        <v>0.05</v>
      </c>
      <c r="E258" s="77">
        <v>3.0</v>
      </c>
      <c r="F258" s="78">
        <v>1000.0</v>
      </c>
      <c r="G258" s="79">
        <f t="shared" si="70"/>
        <v>0</v>
      </c>
      <c r="H258" s="80">
        <f t="shared" si="71"/>
        <v>0</v>
      </c>
      <c r="I258" s="81">
        <f t="shared" si="72"/>
        <v>0</v>
      </c>
      <c r="J258" s="82"/>
      <c r="K258" s="83"/>
      <c r="L258" s="84">
        <f t="shared" si="73"/>
        <v>0</v>
      </c>
      <c r="M258" s="65"/>
      <c r="N258" s="65"/>
      <c r="O258" s="65"/>
      <c r="P258" s="65"/>
      <c r="Q258" s="65"/>
      <c r="R258" s="65"/>
      <c r="S258" s="65"/>
      <c r="T258" s="65"/>
      <c r="U258" s="65"/>
      <c r="V258" s="65"/>
      <c r="W258" s="65"/>
      <c r="X258" s="65"/>
      <c r="Y258" s="65"/>
      <c r="Z258" s="66"/>
      <c r="AA258" s="66"/>
      <c r="AB258" s="66"/>
    </row>
    <row r="259" hidden="1" outlineLevel="1">
      <c r="A259" s="71">
        <v>46248.0</v>
      </c>
      <c r="B259" s="74">
        <v>0.1</v>
      </c>
      <c r="C259" s="75">
        <v>0.1</v>
      </c>
      <c r="D259" s="76">
        <v>0.05</v>
      </c>
      <c r="E259" s="77">
        <v>3.0</v>
      </c>
      <c r="F259" s="78">
        <v>1000.0</v>
      </c>
      <c r="G259" s="79">
        <f t="shared" si="70"/>
        <v>0</v>
      </c>
      <c r="H259" s="80">
        <f t="shared" si="71"/>
        <v>0</v>
      </c>
      <c r="I259" s="81">
        <f t="shared" si="72"/>
        <v>0</v>
      </c>
      <c r="J259" s="82"/>
      <c r="K259" s="83"/>
      <c r="L259" s="84">
        <f t="shared" si="73"/>
        <v>0</v>
      </c>
      <c r="M259" s="65"/>
      <c r="N259" s="65"/>
      <c r="O259" s="65"/>
      <c r="P259" s="65"/>
      <c r="Q259" s="65"/>
      <c r="R259" s="65"/>
      <c r="S259" s="65"/>
      <c r="T259" s="65"/>
      <c r="U259" s="65"/>
      <c r="V259" s="65"/>
      <c r="W259" s="65"/>
      <c r="X259" s="65"/>
      <c r="Y259" s="65"/>
      <c r="Z259" s="66"/>
      <c r="AA259" s="66"/>
      <c r="AB259" s="66"/>
    </row>
    <row r="260" hidden="1" outlineLevel="1">
      <c r="A260" s="71">
        <v>46249.0</v>
      </c>
      <c r="B260" s="74">
        <v>0.1</v>
      </c>
      <c r="C260" s="75">
        <v>0.1</v>
      </c>
      <c r="D260" s="76">
        <v>0.05</v>
      </c>
      <c r="E260" s="77">
        <v>3.0</v>
      </c>
      <c r="F260" s="78">
        <v>1000.0</v>
      </c>
      <c r="G260" s="79">
        <f t="shared" si="70"/>
        <v>0</v>
      </c>
      <c r="H260" s="80">
        <f t="shared" si="71"/>
        <v>0</v>
      </c>
      <c r="I260" s="81">
        <f t="shared" si="72"/>
        <v>0</v>
      </c>
      <c r="J260" s="82"/>
      <c r="K260" s="83"/>
      <c r="L260" s="84">
        <f t="shared" si="73"/>
        <v>0</v>
      </c>
      <c r="M260" s="65"/>
      <c r="N260" s="65"/>
      <c r="O260" s="65"/>
      <c r="P260" s="65"/>
      <c r="Q260" s="65"/>
      <c r="R260" s="65"/>
      <c r="S260" s="65"/>
      <c r="T260" s="65"/>
      <c r="U260" s="65"/>
      <c r="V260" s="65"/>
      <c r="W260" s="65"/>
      <c r="X260" s="65"/>
      <c r="Y260" s="65"/>
      <c r="Z260" s="66"/>
      <c r="AA260" s="66"/>
      <c r="AB260" s="66"/>
    </row>
    <row r="261" hidden="1" outlineLevel="1">
      <c r="A261" s="71">
        <v>46250.0</v>
      </c>
      <c r="B261" s="74">
        <v>0.1</v>
      </c>
      <c r="C261" s="75">
        <v>0.1</v>
      </c>
      <c r="D261" s="76">
        <v>0.05</v>
      </c>
      <c r="E261" s="77">
        <v>3.0</v>
      </c>
      <c r="F261" s="78">
        <v>1000.0</v>
      </c>
      <c r="G261" s="79">
        <f t="shared" si="70"/>
        <v>0</v>
      </c>
      <c r="H261" s="80">
        <f t="shared" si="71"/>
        <v>0</v>
      </c>
      <c r="I261" s="81">
        <f t="shared" si="72"/>
        <v>0</v>
      </c>
      <c r="J261" s="82"/>
      <c r="K261" s="83"/>
      <c r="L261" s="84">
        <f t="shared" si="73"/>
        <v>0</v>
      </c>
      <c r="M261" s="65"/>
      <c r="N261" s="65"/>
      <c r="O261" s="65"/>
      <c r="P261" s="65"/>
      <c r="Q261" s="65"/>
      <c r="R261" s="65"/>
      <c r="S261" s="65"/>
      <c r="T261" s="65"/>
      <c r="U261" s="65"/>
      <c r="V261" s="65"/>
      <c r="W261" s="65"/>
      <c r="X261" s="65"/>
      <c r="Y261" s="65"/>
      <c r="Z261" s="66"/>
      <c r="AA261" s="66"/>
      <c r="AB261" s="66"/>
    </row>
    <row r="262" hidden="1" outlineLevel="1">
      <c r="A262" s="71">
        <v>46251.0</v>
      </c>
      <c r="B262" s="74">
        <v>0.1</v>
      </c>
      <c r="C262" s="75">
        <v>0.1</v>
      </c>
      <c r="D262" s="76">
        <v>0.05</v>
      </c>
      <c r="E262" s="77">
        <v>3.0</v>
      </c>
      <c r="F262" s="78">
        <v>1000.0</v>
      </c>
      <c r="G262" s="79">
        <f t="shared" si="70"/>
        <v>0</v>
      </c>
      <c r="H262" s="80">
        <f t="shared" si="71"/>
        <v>0</v>
      </c>
      <c r="I262" s="81">
        <f t="shared" si="72"/>
        <v>0</v>
      </c>
      <c r="J262" s="82"/>
      <c r="K262" s="83"/>
      <c r="L262" s="84">
        <f t="shared" si="73"/>
        <v>0</v>
      </c>
      <c r="M262" s="65"/>
      <c r="N262" s="65"/>
      <c r="O262" s="65"/>
      <c r="P262" s="65"/>
      <c r="Q262" s="65"/>
      <c r="R262" s="65"/>
      <c r="S262" s="65"/>
      <c r="T262" s="65"/>
      <c r="U262" s="65"/>
      <c r="V262" s="65"/>
      <c r="W262" s="65"/>
      <c r="X262" s="65"/>
      <c r="Y262" s="65"/>
      <c r="Z262" s="66"/>
      <c r="AA262" s="66"/>
      <c r="AB262" s="66"/>
    </row>
    <row r="263" hidden="1" outlineLevel="1">
      <c r="A263" s="71">
        <v>46252.0</v>
      </c>
      <c r="B263" s="74">
        <v>0.1</v>
      </c>
      <c r="C263" s="75">
        <v>0.1</v>
      </c>
      <c r="D263" s="76">
        <v>0.05</v>
      </c>
      <c r="E263" s="77">
        <v>3.0</v>
      </c>
      <c r="F263" s="78">
        <v>1000.0</v>
      </c>
      <c r="G263" s="79">
        <f t="shared" si="70"/>
        <v>0</v>
      </c>
      <c r="H263" s="80">
        <f t="shared" si="71"/>
        <v>0</v>
      </c>
      <c r="I263" s="81">
        <f t="shared" si="72"/>
        <v>0</v>
      </c>
      <c r="J263" s="82"/>
      <c r="K263" s="83"/>
      <c r="L263" s="84">
        <f t="shared" si="73"/>
        <v>0</v>
      </c>
      <c r="M263" s="65"/>
      <c r="N263" s="65"/>
      <c r="O263" s="65"/>
      <c r="P263" s="65"/>
      <c r="Q263" s="65"/>
      <c r="R263" s="65"/>
      <c r="S263" s="65"/>
      <c r="T263" s="65"/>
      <c r="U263" s="65"/>
      <c r="V263" s="65"/>
      <c r="W263" s="65"/>
      <c r="X263" s="65"/>
      <c r="Y263" s="65"/>
      <c r="Z263" s="66"/>
      <c r="AA263" s="66"/>
      <c r="AB263" s="66"/>
    </row>
    <row r="264" hidden="1" outlineLevel="1">
      <c r="A264" s="71">
        <v>46253.0</v>
      </c>
      <c r="B264" s="74">
        <v>0.1</v>
      </c>
      <c r="C264" s="75">
        <v>0.1</v>
      </c>
      <c r="D264" s="76">
        <v>0.05</v>
      </c>
      <c r="E264" s="77">
        <v>3.0</v>
      </c>
      <c r="F264" s="78">
        <v>1000.0</v>
      </c>
      <c r="G264" s="79">
        <f t="shared" si="70"/>
        <v>0</v>
      </c>
      <c r="H264" s="80">
        <f t="shared" si="71"/>
        <v>0</v>
      </c>
      <c r="I264" s="81">
        <f t="shared" si="72"/>
        <v>0</v>
      </c>
      <c r="J264" s="82"/>
      <c r="K264" s="83"/>
      <c r="L264" s="84">
        <f t="shared" si="73"/>
        <v>0</v>
      </c>
      <c r="M264" s="65"/>
      <c r="N264" s="65"/>
      <c r="O264" s="65"/>
      <c r="P264" s="65"/>
      <c r="Q264" s="65"/>
      <c r="R264" s="65"/>
      <c r="S264" s="65"/>
      <c r="T264" s="65"/>
      <c r="U264" s="65"/>
      <c r="V264" s="65"/>
      <c r="W264" s="65"/>
      <c r="X264" s="65"/>
      <c r="Y264" s="65"/>
      <c r="Z264" s="66"/>
      <c r="AA264" s="66"/>
      <c r="AB264" s="66"/>
    </row>
    <row r="265" hidden="1" outlineLevel="1">
      <c r="A265" s="71">
        <v>46254.0</v>
      </c>
      <c r="B265" s="74">
        <v>0.1</v>
      </c>
      <c r="C265" s="75">
        <v>0.1</v>
      </c>
      <c r="D265" s="76">
        <v>0.05</v>
      </c>
      <c r="E265" s="77">
        <v>3.0</v>
      </c>
      <c r="F265" s="78">
        <v>1000.0</v>
      </c>
      <c r="G265" s="79">
        <f t="shared" si="70"/>
        <v>0</v>
      </c>
      <c r="H265" s="80">
        <f t="shared" si="71"/>
        <v>0</v>
      </c>
      <c r="I265" s="81">
        <f t="shared" si="72"/>
        <v>0</v>
      </c>
      <c r="J265" s="82"/>
      <c r="K265" s="83"/>
      <c r="L265" s="84">
        <f t="shared" si="73"/>
        <v>0</v>
      </c>
      <c r="M265" s="65"/>
      <c r="N265" s="65"/>
      <c r="O265" s="65"/>
      <c r="P265" s="65"/>
      <c r="Q265" s="65"/>
      <c r="R265" s="65"/>
      <c r="S265" s="65"/>
      <c r="T265" s="65"/>
      <c r="U265" s="65"/>
      <c r="V265" s="65"/>
      <c r="W265" s="65"/>
      <c r="X265" s="65"/>
      <c r="Y265" s="65"/>
      <c r="Z265" s="66"/>
      <c r="AA265" s="66"/>
      <c r="AB265" s="66"/>
    </row>
    <row r="266" hidden="1" outlineLevel="1">
      <c r="A266" s="71">
        <v>46255.0</v>
      </c>
      <c r="B266" s="74">
        <v>0.1</v>
      </c>
      <c r="C266" s="75">
        <v>0.1</v>
      </c>
      <c r="D266" s="76">
        <v>0.05</v>
      </c>
      <c r="E266" s="77">
        <v>3.0</v>
      </c>
      <c r="F266" s="78">
        <v>1000.0</v>
      </c>
      <c r="G266" s="79">
        <f t="shared" si="70"/>
        <v>0</v>
      </c>
      <c r="H266" s="80">
        <f t="shared" si="71"/>
        <v>0</v>
      </c>
      <c r="I266" s="81">
        <f t="shared" si="72"/>
        <v>0</v>
      </c>
      <c r="J266" s="82"/>
      <c r="K266" s="83"/>
      <c r="L266" s="84">
        <f t="shared" si="73"/>
        <v>0</v>
      </c>
      <c r="M266" s="65"/>
      <c r="N266" s="65"/>
      <c r="O266" s="65"/>
      <c r="P266" s="65"/>
      <c r="Q266" s="65"/>
      <c r="R266" s="65"/>
      <c r="S266" s="65"/>
      <c r="T266" s="65"/>
      <c r="U266" s="65"/>
      <c r="V266" s="65"/>
      <c r="W266" s="65"/>
      <c r="X266" s="65"/>
      <c r="Y266" s="65"/>
      <c r="Z266" s="66"/>
      <c r="AA266" s="66"/>
      <c r="AB266" s="66"/>
    </row>
    <row r="267" hidden="1" outlineLevel="1">
      <c r="A267" s="71">
        <v>46256.0</v>
      </c>
      <c r="B267" s="74">
        <v>0.1</v>
      </c>
      <c r="C267" s="75">
        <v>0.1</v>
      </c>
      <c r="D267" s="76">
        <v>0.05</v>
      </c>
      <c r="E267" s="77">
        <v>3.0</v>
      </c>
      <c r="F267" s="78">
        <v>1000.0</v>
      </c>
      <c r="G267" s="79">
        <f t="shared" si="70"/>
        <v>0</v>
      </c>
      <c r="H267" s="80">
        <f t="shared" si="71"/>
        <v>0</v>
      </c>
      <c r="I267" s="81">
        <f t="shared" si="72"/>
        <v>0</v>
      </c>
      <c r="J267" s="82"/>
      <c r="K267" s="83"/>
      <c r="L267" s="84">
        <f t="shared" si="73"/>
        <v>0</v>
      </c>
      <c r="M267" s="65"/>
      <c r="N267" s="65"/>
      <c r="O267" s="65"/>
      <c r="P267" s="65"/>
      <c r="Q267" s="65"/>
      <c r="R267" s="65"/>
      <c r="S267" s="65"/>
      <c r="T267" s="65"/>
      <c r="U267" s="65"/>
      <c r="V267" s="65"/>
      <c r="W267" s="65"/>
      <c r="X267" s="65"/>
      <c r="Y267" s="65"/>
      <c r="Z267" s="66"/>
      <c r="AA267" s="66"/>
      <c r="AB267" s="66"/>
    </row>
    <row r="268" hidden="1" outlineLevel="1">
      <c r="A268" s="71">
        <v>46257.0</v>
      </c>
      <c r="B268" s="74">
        <v>0.1</v>
      </c>
      <c r="C268" s="75">
        <v>0.1</v>
      </c>
      <c r="D268" s="76">
        <v>0.05</v>
      </c>
      <c r="E268" s="77">
        <v>3.0</v>
      </c>
      <c r="F268" s="78">
        <v>1000.0</v>
      </c>
      <c r="G268" s="79">
        <f t="shared" si="70"/>
        <v>0</v>
      </c>
      <c r="H268" s="80">
        <f t="shared" si="71"/>
        <v>0</v>
      </c>
      <c r="I268" s="81">
        <f t="shared" si="72"/>
        <v>0</v>
      </c>
      <c r="J268" s="82"/>
      <c r="K268" s="83"/>
      <c r="L268" s="84">
        <f t="shared" si="73"/>
        <v>0</v>
      </c>
      <c r="M268" s="65"/>
      <c r="N268" s="65"/>
      <c r="O268" s="65"/>
      <c r="P268" s="65"/>
      <c r="Q268" s="65"/>
      <c r="R268" s="65"/>
      <c r="S268" s="65"/>
      <c r="T268" s="65"/>
      <c r="U268" s="65"/>
      <c r="V268" s="65"/>
      <c r="W268" s="65"/>
      <c r="X268" s="65"/>
      <c r="Y268" s="65"/>
      <c r="Z268" s="66"/>
      <c r="AA268" s="66"/>
      <c r="AB268" s="66"/>
    </row>
    <row r="269" hidden="1" outlineLevel="1">
      <c r="A269" s="71">
        <v>46258.0</v>
      </c>
      <c r="B269" s="74">
        <v>0.1</v>
      </c>
      <c r="C269" s="75">
        <v>0.1</v>
      </c>
      <c r="D269" s="76">
        <v>0.05</v>
      </c>
      <c r="E269" s="77">
        <v>3.0</v>
      </c>
      <c r="F269" s="78">
        <v>1000.0</v>
      </c>
      <c r="G269" s="79">
        <f t="shared" si="70"/>
        <v>0</v>
      </c>
      <c r="H269" s="80">
        <f t="shared" si="71"/>
        <v>0</v>
      </c>
      <c r="I269" s="81">
        <f t="shared" si="72"/>
        <v>0</v>
      </c>
      <c r="J269" s="82"/>
      <c r="K269" s="83"/>
      <c r="L269" s="84">
        <f t="shared" si="73"/>
        <v>0</v>
      </c>
      <c r="M269" s="65"/>
      <c r="N269" s="65"/>
      <c r="O269" s="65"/>
      <c r="P269" s="65"/>
      <c r="Q269" s="65"/>
      <c r="R269" s="65"/>
      <c r="S269" s="65"/>
      <c r="T269" s="65"/>
      <c r="U269" s="65"/>
      <c r="V269" s="65"/>
      <c r="W269" s="65"/>
      <c r="X269" s="65"/>
      <c r="Y269" s="65"/>
      <c r="Z269" s="66"/>
      <c r="AA269" s="66"/>
      <c r="AB269" s="66"/>
    </row>
    <row r="270" hidden="1" outlineLevel="1">
      <c r="A270" s="71">
        <v>46259.0</v>
      </c>
      <c r="B270" s="74">
        <v>0.1</v>
      </c>
      <c r="C270" s="75">
        <v>0.1</v>
      </c>
      <c r="D270" s="76">
        <v>0.05</v>
      </c>
      <c r="E270" s="77">
        <v>3.0</v>
      </c>
      <c r="F270" s="78">
        <v>1000.0</v>
      </c>
      <c r="G270" s="79">
        <f t="shared" si="70"/>
        <v>0</v>
      </c>
      <c r="H270" s="80">
        <f t="shared" si="71"/>
        <v>0</v>
      </c>
      <c r="I270" s="81">
        <f t="shared" si="72"/>
        <v>0</v>
      </c>
      <c r="J270" s="82"/>
      <c r="K270" s="83"/>
      <c r="L270" s="84">
        <f t="shared" si="73"/>
        <v>0</v>
      </c>
      <c r="M270" s="65"/>
      <c r="N270" s="65"/>
      <c r="O270" s="65"/>
      <c r="P270" s="65"/>
      <c r="Q270" s="65"/>
      <c r="R270" s="65"/>
      <c r="S270" s="65"/>
      <c r="T270" s="65"/>
      <c r="U270" s="65"/>
      <c r="V270" s="65"/>
      <c r="W270" s="65"/>
      <c r="X270" s="65"/>
      <c r="Y270" s="65"/>
      <c r="Z270" s="66"/>
      <c r="AA270" s="66"/>
      <c r="AB270" s="66"/>
    </row>
    <row r="271" hidden="1" outlineLevel="1">
      <c r="A271" s="71">
        <v>46260.0</v>
      </c>
      <c r="B271" s="74">
        <v>0.1</v>
      </c>
      <c r="C271" s="75">
        <v>0.1</v>
      </c>
      <c r="D271" s="76">
        <v>0.05</v>
      </c>
      <c r="E271" s="77">
        <v>3.0</v>
      </c>
      <c r="F271" s="78">
        <v>1000.0</v>
      </c>
      <c r="G271" s="79">
        <f t="shared" si="70"/>
        <v>0</v>
      </c>
      <c r="H271" s="80">
        <f t="shared" si="71"/>
        <v>0</v>
      </c>
      <c r="I271" s="81">
        <f t="shared" si="72"/>
        <v>0</v>
      </c>
      <c r="J271" s="82"/>
      <c r="K271" s="83"/>
      <c r="L271" s="84">
        <f t="shared" si="73"/>
        <v>0</v>
      </c>
      <c r="M271" s="65"/>
      <c r="N271" s="65"/>
      <c r="O271" s="65"/>
      <c r="P271" s="65"/>
      <c r="Q271" s="65"/>
      <c r="R271" s="65"/>
      <c r="S271" s="65"/>
      <c r="T271" s="65"/>
      <c r="U271" s="65"/>
      <c r="V271" s="65"/>
      <c r="W271" s="65"/>
      <c r="X271" s="65"/>
      <c r="Y271" s="65"/>
      <c r="Z271" s="66"/>
      <c r="AA271" s="66"/>
      <c r="AB271" s="66"/>
    </row>
    <row r="272" hidden="1" outlineLevel="1">
      <c r="A272" s="71">
        <v>46261.0</v>
      </c>
      <c r="B272" s="74">
        <v>0.1</v>
      </c>
      <c r="C272" s="75">
        <v>0.1</v>
      </c>
      <c r="D272" s="76">
        <v>0.05</v>
      </c>
      <c r="E272" s="77">
        <v>3.0</v>
      </c>
      <c r="F272" s="78">
        <v>1000.0</v>
      </c>
      <c r="G272" s="79">
        <f t="shared" si="70"/>
        <v>0</v>
      </c>
      <c r="H272" s="80">
        <f t="shared" si="71"/>
        <v>0</v>
      </c>
      <c r="I272" s="81">
        <f t="shared" si="72"/>
        <v>0</v>
      </c>
      <c r="J272" s="82"/>
      <c r="K272" s="83"/>
      <c r="L272" s="84">
        <f t="shared" si="73"/>
        <v>0</v>
      </c>
      <c r="M272" s="65"/>
      <c r="N272" s="65"/>
      <c r="O272" s="65"/>
      <c r="P272" s="65"/>
      <c r="Q272" s="65"/>
      <c r="R272" s="65"/>
      <c r="S272" s="65"/>
      <c r="T272" s="65"/>
      <c r="U272" s="65"/>
      <c r="V272" s="65"/>
      <c r="W272" s="65"/>
      <c r="X272" s="65"/>
      <c r="Y272" s="65"/>
      <c r="Z272" s="66"/>
      <c r="AA272" s="66"/>
      <c r="AB272" s="66"/>
    </row>
    <row r="273" hidden="1" outlineLevel="1">
      <c r="A273" s="71">
        <v>46262.0</v>
      </c>
      <c r="B273" s="74">
        <v>0.1</v>
      </c>
      <c r="C273" s="75">
        <v>0.1</v>
      </c>
      <c r="D273" s="76">
        <v>0.05</v>
      </c>
      <c r="E273" s="77">
        <v>3.0</v>
      </c>
      <c r="F273" s="78">
        <v>1000.0</v>
      </c>
      <c r="G273" s="79">
        <f t="shared" si="70"/>
        <v>0</v>
      </c>
      <c r="H273" s="80">
        <f t="shared" si="71"/>
        <v>0</v>
      </c>
      <c r="I273" s="81">
        <f t="shared" si="72"/>
        <v>0</v>
      </c>
      <c r="J273" s="82"/>
      <c r="K273" s="83"/>
      <c r="L273" s="84">
        <f t="shared" si="73"/>
        <v>0</v>
      </c>
      <c r="M273" s="65"/>
      <c r="N273" s="65"/>
      <c r="O273" s="65"/>
      <c r="P273" s="65"/>
      <c r="Q273" s="65"/>
      <c r="R273" s="65"/>
      <c r="S273" s="65"/>
      <c r="T273" s="65"/>
      <c r="U273" s="65"/>
      <c r="V273" s="65"/>
      <c r="W273" s="65"/>
      <c r="X273" s="65"/>
      <c r="Y273" s="65"/>
      <c r="Z273" s="66"/>
      <c r="AA273" s="66"/>
      <c r="AB273" s="66"/>
    </row>
    <row r="274" hidden="1" outlineLevel="1">
      <c r="A274" s="71">
        <v>46263.0</v>
      </c>
      <c r="B274" s="74">
        <v>0.1</v>
      </c>
      <c r="C274" s="75">
        <v>0.1</v>
      </c>
      <c r="D274" s="76">
        <v>0.05</v>
      </c>
      <c r="E274" s="77">
        <v>3.0</v>
      </c>
      <c r="F274" s="78">
        <v>1000.0</v>
      </c>
      <c r="G274" s="79">
        <f t="shared" si="70"/>
        <v>0</v>
      </c>
      <c r="H274" s="80">
        <f t="shared" si="71"/>
        <v>0</v>
      </c>
      <c r="I274" s="81">
        <f t="shared" si="72"/>
        <v>0</v>
      </c>
      <c r="J274" s="82"/>
      <c r="K274" s="83"/>
      <c r="L274" s="84">
        <f t="shared" si="73"/>
        <v>0</v>
      </c>
      <c r="M274" s="65"/>
      <c r="N274" s="65"/>
      <c r="O274" s="65"/>
      <c r="P274" s="65"/>
      <c r="Q274" s="65"/>
      <c r="R274" s="65"/>
      <c r="S274" s="65"/>
      <c r="T274" s="65"/>
      <c r="U274" s="65"/>
      <c r="V274" s="65"/>
      <c r="W274" s="65"/>
      <c r="X274" s="65"/>
      <c r="Y274" s="65"/>
      <c r="Z274" s="66"/>
      <c r="AA274" s="66"/>
      <c r="AB274" s="66"/>
    </row>
    <row r="275" hidden="1" outlineLevel="1">
      <c r="A275" s="71">
        <v>46264.0</v>
      </c>
      <c r="B275" s="74">
        <v>0.1</v>
      </c>
      <c r="C275" s="75">
        <v>0.1</v>
      </c>
      <c r="D275" s="76">
        <v>0.05</v>
      </c>
      <c r="E275" s="77">
        <v>3.0</v>
      </c>
      <c r="F275" s="78">
        <v>1000.0</v>
      </c>
      <c r="G275" s="79">
        <f t="shared" si="70"/>
        <v>0</v>
      </c>
      <c r="H275" s="80">
        <f t="shared" si="71"/>
        <v>0</v>
      </c>
      <c r="I275" s="81">
        <f t="shared" si="72"/>
        <v>0</v>
      </c>
      <c r="J275" s="82"/>
      <c r="K275" s="83"/>
      <c r="L275" s="84">
        <f t="shared" si="73"/>
        <v>0</v>
      </c>
      <c r="M275" s="65"/>
      <c r="N275" s="65"/>
      <c r="O275" s="65"/>
      <c r="P275" s="65"/>
      <c r="Q275" s="65"/>
      <c r="R275" s="65"/>
      <c r="S275" s="65"/>
      <c r="T275" s="65"/>
      <c r="U275" s="65"/>
      <c r="V275" s="65"/>
      <c r="W275" s="65"/>
      <c r="X275" s="65"/>
      <c r="Y275" s="65"/>
      <c r="Z275" s="66"/>
      <c r="AA275" s="66"/>
      <c r="AB275" s="66"/>
    </row>
    <row r="276" hidden="1" outlineLevel="1">
      <c r="A276" s="71">
        <v>46265.0</v>
      </c>
      <c r="B276" s="74">
        <v>0.1</v>
      </c>
      <c r="C276" s="75">
        <v>0.1</v>
      </c>
      <c r="D276" s="76">
        <v>0.05</v>
      </c>
      <c r="E276" s="77">
        <v>3.0</v>
      </c>
      <c r="F276" s="78">
        <v>1000.0</v>
      </c>
      <c r="G276" s="79">
        <f t="shared" si="70"/>
        <v>0</v>
      </c>
      <c r="H276" s="80">
        <f t="shared" si="71"/>
        <v>0</v>
      </c>
      <c r="I276" s="81">
        <f t="shared" si="72"/>
        <v>0</v>
      </c>
      <c r="J276" s="82"/>
      <c r="K276" s="83"/>
      <c r="L276" s="84">
        <f t="shared" si="73"/>
        <v>0</v>
      </c>
      <c r="M276" s="65"/>
      <c r="N276" s="65"/>
      <c r="O276" s="65"/>
      <c r="P276" s="65"/>
      <c r="Q276" s="65"/>
      <c r="R276" s="65"/>
      <c r="S276" s="65"/>
      <c r="T276" s="65"/>
      <c r="U276" s="65"/>
      <c r="V276" s="65"/>
      <c r="W276" s="65"/>
      <c r="X276" s="65"/>
      <c r="Y276" s="65"/>
      <c r="Z276" s="66"/>
      <c r="AA276" s="66"/>
      <c r="AB276" s="66"/>
    </row>
    <row r="277" hidden="1" outlineLevel="1">
      <c r="A277" s="85" t="s">
        <v>41</v>
      </c>
      <c r="C277" s="86">
        <f>SUM(C246:C276)</f>
        <v>3.1</v>
      </c>
      <c r="D277" s="87"/>
      <c r="E277" s="87"/>
      <c r="F277" s="87"/>
      <c r="G277" s="87"/>
      <c r="H277" s="87"/>
      <c r="I277" s="88">
        <f t="shared" ref="I277:K277" si="74">SUM(I246:I276)</f>
        <v>0</v>
      </c>
      <c r="J277" s="89">
        <f t="shared" si="74"/>
        <v>0</v>
      </c>
      <c r="K277" s="87">
        <f t="shared" si="74"/>
        <v>0</v>
      </c>
      <c r="L277" s="89">
        <f>L276</f>
        <v>0</v>
      </c>
      <c r="M277" s="65"/>
      <c r="N277" s="65"/>
      <c r="O277" s="65"/>
      <c r="P277" s="65"/>
      <c r="Q277" s="65"/>
      <c r="R277" s="65"/>
      <c r="S277" s="65"/>
      <c r="T277" s="65"/>
      <c r="U277" s="65"/>
      <c r="V277" s="65"/>
      <c r="W277" s="65"/>
      <c r="X277" s="65"/>
      <c r="Y277" s="65"/>
      <c r="Z277" s="66"/>
      <c r="AA277" s="66"/>
      <c r="AB277" s="66"/>
    </row>
    <row r="278">
      <c r="A278" s="95"/>
      <c r="B278" s="92"/>
      <c r="C278" s="92"/>
      <c r="D278" s="92"/>
      <c r="E278" s="92"/>
      <c r="F278" s="92"/>
      <c r="G278" s="92"/>
      <c r="H278" s="92"/>
      <c r="I278" s="92"/>
      <c r="J278" s="92"/>
      <c r="K278" s="94">
        <f>SUM(K246:K276)</f>
        <v>0</v>
      </c>
      <c r="L278" s="92"/>
      <c r="M278" s="65"/>
      <c r="N278" s="65"/>
      <c r="O278" s="65"/>
      <c r="P278" s="65"/>
      <c r="Q278" s="65"/>
      <c r="R278" s="65"/>
      <c r="S278" s="65"/>
      <c r="T278" s="65"/>
      <c r="U278" s="65"/>
      <c r="V278" s="65"/>
      <c r="W278" s="65"/>
      <c r="X278" s="65"/>
      <c r="Y278" s="65"/>
      <c r="Z278" s="66"/>
      <c r="AA278" s="66"/>
      <c r="AB278" s="66"/>
    </row>
    <row r="279" collapsed="1">
      <c r="A279" s="57" t="s">
        <v>50</v>
      </c>
      <c r="M279" s="65"/>
      <c r="N279" s="65"/>
      <c r="O279" s="65"/>
      <c r="P279" s="65"/>
      <c r="Q279" s="65"/>
      <c r="R279" s="65"/>
      <c r="S279" s="65"/>
      <c r="T279" s="65"/>
      <c r="U279" s="65"/>
      <c r="V279" s="65"/>
      <c r="W279" s="65"/>
      <c r="X279" s="65"/>
      <c r="Y279" s="65"/>
      <c r="Z279" s="66"/>
      <c r="AA279" s="66"/>
      <c r="AB279" s="66"/>
    </row>
    <row r="280" hidden="1" outlineLevel="1">
      <c r="A280" s="71" t="s">
        <v>29</v>
      </c>
      <c r="B280" s="57" t="s">
        <v>30</v>
      </c>
      <c r="C280" s="57" t="s">
        <v>31</v>
      </c>
      <c r="D280" s="72" t="s">
        <v>32</v>
      </c>
      <c r="E280" s="72" t="s">
        <v>33</v>
      </c>
      <c r="F280" s="72" t="s">
        <v>34</v>
      </c>
      <c r="G280" s="73" t="s">
        <v>35</v>
      </c>
      <c r="H280" s="72" t="s">
        <v>36</v>
      </c>
      <c r="I280" s="57" t="s">
        <v>37</v>
      </c>
      <c r="J280" s="74" t="s">
        <v>38</v>
      </c>
      <c r="K280" s="57" t="s">
        <v>39</v>
      </c>
      <c r="L280" s="57" t="s">
        <v>40</v>
      </c>
      <c r="M280" s="65"/>
      <c r="N280" s="65"/>
      <c r="O280" s="65"/>
      <c r="P280" s="65"/>
      <c r="Q280" s="65"/>
      <c r="R280" s="65"/>
      <c r="S280" s="65"/>
      <c r="T280" s="65"/>
      <c r="U280" s="65"/>
      <c r="V280" s="65"/>
      <c r="W280" s="65"/>
      <c r="X280" s="65"/>
      <c r="Y280" s="65"/>
      <c r="Z280" s="66"/>
      <c r="AA280" s="66"/>
      <c r="AB280" s="66"/>
    </row>
    <row r="281" hidden="1" outlineLevel="1">
      <c r="A281" s="71">
        <v>46266.0</v>
      </c>
      <c r="B281" s="74">
        <v>0.1</v>
      </c>
      <c r="C281" s="75">
        <v>0.1</v>
      </c>
      <c r="D281" s="76">
        <v>0.05</v>
      </c>
      <c r="E281" s="77">
        <v>3.0</v>
      </c>
      <c r="F281" s="78">
        <v>1000.0</v>
      </c>
      <c r="G281" s="79">
        <f>L277*C281</f>
        <v>0</v>
      </c>
      <c r="H281" s="80">
        <f>L277*D281</f>
        <v>0</v>
      </c>
      <c r="I281" s="81">
        <f>(J281/L277)*100</f>
        <v>0</v>
      </c>
      <c r="J281" s="82"/>
      <c r="K281" s="83"/>
      <c r="L281" s="84">
        <f>(L277+J281)-K281</f>
        <v>0</v>
      </c>
      <c r="M281" s="65"/>
      <c r="N281" s="65"/>
      <c r="O281" s="65"/>
      <c r="P281" s="65"/>
      <c r="Q281" s="65"/>
      <c r="R281" s="65"/>
      <c r="S281" s="65"/>
      <c r="T281" s="65"/>
      <c r="U281" s="65"/>
      <c r="V281" s="65"/>
      <c r="W281" s="65"/>
      <c r="X281" s="65"/>
      <c r="Y281" s="65"/>
      <c r="Z281" s="66"/>
      <c r="AA281" s="66"/>
      <c r="AB281" s="66"/>
    </row>
    <row r="282" hidden="1" outlineLevel="1">
      <c r="A282" s="71">
        <v>46267.0</v>
      </c>
      <c r="B282" s="74">
        <v>0.1</v>
      </c>
      <c r="C282" s="75">
        <v>0.1</v>
      </c>
      <c r="D282" s="76">
        <v>0.05</v>
      </c>
      <c r="E282" s="77">
        <v>3.0</v>
      </c>
      <c r="F282" s="78">
        <v>1000.0</v>
      </c>
      <c r="G282" s="79">
        <f t="shared" ref="G282:G310" si="75">L281*C282</f>
        <v>0</v>
      </c>
      <c r="H282" s="80">
        <f t="shared" ref="H282:H310" si="76">L281*D282</f>
        <v>0</v>
      </c>
      <c r="I282" s="81">
        <f t="shared" ref="I282:I310" si="77">(J282/L281)*100</f>
        <v>0</v>
      </c>
      <c r="J282" s="82"/>
      <c r="K282" s="83"/>
      <c r="L282" s="84">
        <f t="shared" ref="L282:L310" si="78">(L281+J282)-K282</f>
        <v>0</v>
      </c>
      <c r="M282" s="65"/>
      <c r="N282" s="65"/>
      <c r="O282" s="65"/>
      <c r="P282" s="65"/>
      <c r="Q282" s="65"/>
      <c r="R282" s="65"/>
      <c r="S282" s="65"/>
      <c r="T282" s="65"/>
      <c r="U282" s="65"/>
      <c r="V282" s="65"/>
      <c r="W282" s="65"/>
      <c r="X282" s="65"/>
      <c r="Y282" s="65"/>
      <c r="Z282" s="66"/>
      <c r="AA282" s="66"/>
      <c r="AB282" s="66"/>
    </row>
    <row r="283" hidden="1" outlineLevel="1">
      <c r="A283" s="71">
        <v>46268.0</v>
      </c>
      <c r="B283" s="74">
        <v>0.1</v>
      </c>
      <c r="C283" s="75">
        <v>0.1</v>
      </c>
      <c r="D283" s="76">
        <v>0.05</v>
      </c>
      <c r="E283" s="77">
        <v>3.0</v>
      </c>
      <c r="F283" s="78">
        <v>1000.0</v>
      </c>
      <c r="G283" s="79">
        <f t="shared" si="75"/>
        <v>0</v>
      </c>
      <c r="H283" s="80">
        <f t="shared" si="76"/>
        <v>0</v>
      </c>
      <c r="I283" s="81">
        <f t="shared" si="77"/>
        <v>0</v>
      </c>
      <c r="J283" s="82"/>
      <c r="K283" s="83"/>
      <c r="L283" s="84">
        <f t="shared" si="78"/>
        <v>0</v>
      </c>
      <c r="M283" s="65"/>
      <c r="N283" s="65"/>
      <c r="O283" s="65"/>
      <c r="P283" s="65"/>
      <c r="Q283" s="65"/>
      <c r="R283" s="65"/>
      <c r="S283" s="65"/>
      <c r="T283" s="65"/>
      <c r="U283" s="65"/>
      <c r="V283" s="65"/>
      <c r="W283" s="65"/>
      <c r="X283" s="65"/>
      <c r="Y283" s="65"/>
      <c r="Z283" s="66"/>
      <c r="AA283" s="66"/>
      <c r="AB283" s="66"/>
    </row>
    <row r="284" hidden="1" outlineLevel="1">
      <c r="A284" s="71">
        <v>46269.0</v>
      </c>
      <c r="B284" s="74">
        <v>0.1</v>
      </c>
      <c r="C284" s="75">
        <v>0.1</v>
      </c>
      <c r="D284" s="76">
        <v>0.05</v>
      </c>
      <c r="E284" s="77">
        <v>3.0</v>
      </c>
      <c r="F284" s="78">
        <v>1000.0</v>
      </c>
      <c r="G284" s="79">
        <f t="shared" si="75"/>
        <v>0</v>
      </c>
      <c r="H284" s="80">
        <f t="shared" si="76"/>
        <v>0</v>
      </c>
      <c r="I284" s="81">
        <f t="shared" si="77"/>
        <v>0</v>
      </c>
      <c r="J284" s="82"/>
      <c r="K284" s="83"/>
      <c r="L284" s="84">
        <f t="shared" si="78"/>
        <v>0</v>
      </c>
      <c r="M284" s="65"/>
      <c r="N284" s="65"/>
      <c r="O284" s="65"/>
      <c r="P284" s="65"/>
      <c r="Q284" s="65"/>
      <c r="R284" s="65"/>
      <c r="S284" s="65"/>
      <c r="T284" s="65"/>
      <c r="U284" s="65"/>
      <c r="V284" s="65"/>
      <c r="W284" s="65"/>
      <c r="X284" s="65"/>
      <c r="Y284" s="65"/>
      <c r="Z284" s="66"/>
      <c r="AA284" s="66"/>
      <c r="AB284" s="66"/>
    </row>
    <row r="285" hidden="1" outlineLevel="1">
      <c r="A285" s="71">
        <v>46270.0</v>
      </c>
      <c r="B285" s="74">
        <v>0.1</v>
      </c>
      <c r="C285" s="75">
        <v>0.1</v>
      </c>
      <c r="D285" s="76">
        <v>0.05</v>
      </c>
      <c r="E285" s="77">
        <v>3.0</v>
      </c>
      <c r="F285" s="78">
        <v>1000.0</v>
      </c>
      <c r="G285" s="79">
        <f t="shared" si="75"/>
        <v>0</v>
      </c>
      <c r="H285" s="80">
        <f t="shared" si="76"/>
        <v>0</v>
      </c>
      <c r="I285" s="81">
        <f t="shared" si="77"/>
        <v>0</v>
      </c>
      <c r="J285" s="82"/>
      <c r="K285" s="83"/>
      <c r="L285" s="84">
        <f t="shared" si="78"/>
        <v>0</v>
      </c>
      <c r="M285" s="65"/>
      <c r="N285" s="65"/>
      <c r="O285" s="65"/>
      <c r="P285" s="65"/>
      <c r="Q285" s="65"/>
      <c r="R285" s="65"/>
      <c r="S285" s="65"/>
      <c r="T285" s="65"/>
      <c r="U285" s="65"/>
      <c r="V285" s="65"/>
      <c r="W285" s="65"/>
      <c r="X285" s="65"/>
      <c r="Y285" s="65"/>
      <c r="Z285" s="66"/>
      <c r="AA285" s="66"/>
      <c r="AB285" s="66"/>
    </row>
    <row r="286" hidden="1" outlineLevel="1">
      <c r="A286" s="71">
        <v>46271.0</v>
      </c>
      <c r="B286" s="74">
        <v>0.1</v>
      </c>
      <c r="C286" s="75">
        <v>0.1</v>
      </c>
      <c r="D286" s="76">
        <v>0.05</v>
      </c>
      <c r="E286" s="77">
        <v>3.0</v>
      </c>
      <c r="F286" s="78">
        <v>1000.0</v>
      </c>
      <c r="G286" s="79">
        <f t="shared" si="75"/>
        <v>0</v>
      </c>
      <c r="H286" s="80">
        <f t="shared" si="76"/>
        <v>0</v>
      </c>
      <c r="I286" s="81">
        <f t="shared" si="77"/>
        <v>0</v>
      </c>
      <c r="J286" s="82"/>
      <c r="K286" s="83"/>
      <c r="L286" s="84">
        <f t="shared" si="78"/>
        <v>0</v>
      </c>
      <c r="M286" s="65"/>
      <c r="N286" s="65"/>
      <c r="O286" s="65"/>
      <c r="P286" s="65"/>
      <c r="Q286" s="65"/>
      <c r="R286" s="65"/>
      <c r="S286" s="65"/>
      <c r="T286" s="65"/>
      <c r="U286" s="65"/>
      <c r="V286" s="65"/>
      <c r="W286" s="65"/>
      <c r="X286" s="65"/>
      <c r="Y286" s="65"/>
      <c r="Z286" s="66"/>
      <c r="AA286" s="66"/>
      <c r="AB286" s="66"/>
    </row>
    <row r="287" hidden="1" outlineLevel="1">
      <c r="A287" s="71">
        <v>46272.0</v>
      </c>
      <c r="B287" s="74">
        <v>0.1</v>
      </c>
      <c r="C287" s="75">
        <v>0.1</v>
      </c>
      <c r="D287" s="76">
        <v>0.05</v>
      </c>
      <c r="E287" s="77">
        <v>3.0</v>
      </c>
      <c r="F287" s="78">
        <v>1000.0</v>
      </c>
      <c r="G287" s="79">
        <f t="shared" si="75"/>
        <v>0</v>
      </c>
      <c r="H287" s="80">
        <f t="shared" si="76"/>
        <v>0</v>
      </c>
      <c r="I287" s="81">
        <f t="shared" si="77"/>
        <v>0</v>
      </c>
      <c r="J287" s="82"/>
      <c r="K287" s="83"/>
      <c r="L287" s="84">
        <f t="shared" si="78"/>
        <v>0</v>
      </c>
      <c r="M287" s="65"/>
      <c r="N287" s="65"/>
      <c r="O287" s="65"/>
      <c r="P287" s="65"/>
      <c r="Q287" s="65"/>
      <c r="R287" s="65"/>
      <c r="S287" s="65"/>
      <c r="T287" s="65"/>
      <c r="U287" s="65"/>
      <c r="V287" s="65"/>
      <c r="W287" s="65"/>
      <c r="X287" s="65"/>
      <c r="Y287" s="65"/>
      <c r="Z287" s="66"/>
      <c r="AA287" s="66"/>
      <c r="AB287" s="66"/>
    </row>
    <row r="288" hidden="1" outlineLevel="1">
      <c r="A288" s="71">
        <v>46273.0</v>
      </c>
      <c r="B288" s="74">
        <v>0.1</v>
      </c>
      <c r="C288" s="75">
        <v>0.1</v>
      </c>
      <c r="D288" s="76">
        <v>0.05</v>
      </c>
      <c r="E288" s="77">
        <v>3.0</v>
      </c>
      <c r="F288" s="78">
        <v>1000.0</v>
      </c>
      <c r="G288" s="79">
        <f t="shared" si="75"/>
        <v>0</v>
      </c>
      <c r="H288" s="80">
        <f t="shared" si="76"/>
        <v>0</v>
      </c>
      <c r="I288" s="81">
        <f t="shared" si="77"/>
        <v>0</v>
      </c>
      <c r="J288" s="82"/>
      <c r="K288" s="83"/>
      <c r="L288" s="84">
        <f t="shared" si="78"/>
        <v>0</v>
      </c>
      <c r="M288" s="65"/>
      <c r="N288" s="65"/>
      <c r="O288" s="65"/>
      <c r="P288" s="65"/>
      <c r="Q288" s="65"/>
      <c r="R288" s="65"/>
      <c r="S288" s="65"/>
      <c r="T288" s="65"/>
      <c r="U288" s="65"/>
      <c r="V288" s="65"/>
      <c r="W288" s="65"/>
      <c r="X288" s="65"/>
      <c r="Y288" s="65"/>
      <c r="Z288" s="66"/>
      <c r="AA288" s="66"/>
      <c r="AB288" s="66"/>
    </row>
    <row r="289" hidden="1" outlineLevel="1">
      <c r="A289" s="71">
        <v>46274.0</v>
      </c>
      <c r="B289" s="74">
        <v>0.1</v>
      </c>
      <c r="C289" s="75">
        <v>0.1</v>
      </c>
      <c r="D289" s="76">
        <v>0.05</v>
      </c>
      <c r="E289" s="77">
        <v>3.0</v>
      </c>
      <c r="F289" s="78">
        <v>1000.0</v>
      </c>
      <c r="G289" s="79">
        <f t="shared" si="75"/>
        <v>0</v>
      </c>
      <c r="H289" s="80">
        <f t="shared" si="76"/>
        <v>0</v>
      </c>
      <c r="I289" s="81">
        <f t="shared" si="77"/>
        <v>0</v>
      </c>
      <c r="J289" s="82"/>
      <c r="K289" s="83"/>
      <c r="L289" s="84">
        <f t="shared" si="78"/>
        <v>0</v>
      </c>
      <c r="M289" s="65"/>
      <c r="N289" s="65"/>
      <c r="O289" s="65"/>
      <c r="P289" s="65"/>
      <c r="Q289" s="65"/>
      <c r="R289" s="65"/>
      <c r="S289" s="65"/>
      <c r="T289" s="65"/>
      <c r="U289" s="65"/>
      <c r="V289" s="65"/>
      <c r="W289" s="65"/>
      <c r="X289" s="65"/>
      <c r="Y289" s="65"/>
      <c r="Z289" s="66"/>
      <c r="AA289" s="66"/>
      <c r="AB289" s="66"/>
    </row>
    <row r="290" hidden="1" outlineLevel="1">
      <c r="A290" s="71">
        <v>46275.0</v>
      </c>
      <c r="B290" s="74">
        <v>0.1</v>
      </c>
      <c r="C290" s="75">
        <v>0.1</v>
      </c>
      <c r="D290" s="76">
        <v>0.05</v>
      </c>
      <c r="E290" s="77">
        <v>3.0</v>
      </c>
      <c r="F290" s="78">
        <v>1000.0</v>
      </c>
      <c r="G290" s="79">
        <f t="shared" si="75"/>
        <v>0</v>
      </c>
      <c r="H290" s="80">
        <f t="shared" si="76"/>
        <v>0</v>
      </c>
      <c r="I290" s="81">
        <f t="shared" si="77"/>
        <v>0</v>
      </c>
      <c r="J290" s="82"/>
      <c r="K290" s="83"/>
      <c r="L290" s="84">
        <f t="shared" si="78"/>
        <v>0</v>
      </c>
      <c r="M290" s="65"/>
      <c r="N290" s="65"/>
      <c r="O290" s="65"/>
      <c r="P290" s="65"/>
      <c r="Q290" s="65"/>
      <c r="R290" s="65"/>
      <c r="S290" s="65"/>
      <c r="T290" s="65"/>
      <c r="U290" s="65"/>
      <c r="V290" s="65"/>
      <c r="W290" s="65"/>
      <c r="X290" s="65"/>
      <c r="Y290" s="65"/>
      <c r="Z290" s="66"/>
      <c r="AA290" s="66"/>
      <c r="AB290" s="66"/>
    </row>
    <row r="291" hidden="1" outlineLevel="1">
      <c r="A291" s="71">
        <v>46276.0</v>
      </c>
      <c r="B291" s="74">
        <v>0.1</v>
      </c>
      <c r="C291" s="75">
        <v>0.1</v>
      </c>
      <c r="D291" s="76">
        <v>0.05</v>
      </c>
      <c r="E291" s="77">
        <v>3.0</v>
      </c>
      <c r="F291" s="78">
        <v>1000.0</v>
      </c>
      <c r="G291" s="79">
        <f t="shared" si="75"/>
        <v>0</v>
      </c>
      <c r="H291" s="80">
        <f t="shared" si="76"/>
        <v>0</v>
      </c>
      <c r="I291" s="81">
        <f t="shared" si="77"/>
        <v>0</v>
      </c>
      <c r="J291" s="82"/>
      <c r="K291" s="83"/>
      <c r="L291" s="84">
        <f t="shared" si="78"/>
        <v>0</v>
      </c>
      <c r="M291" s="65"/>
      <c r="N291" s="65"/>
      <c r="O291" s="65"/>
      <c r="P291" s="65"/>
      <c r="Q291" s="65"/>
      <c r="R291" s="65"/>
      <c r="S291" s="65"/>
      <c r="T291" s="65"/>
      <c r="U291" s="65"/>
      <c r="V291" s="65"/>
      <c r="W291" s="65"/>
      <c r="X291" s="65"/>
      <c r="Y291" s="65"/>
      <c r="Z291" s="66"/>
      <c r="AA291" s="66"/>
      <c r="AB291" s="66"/>
    </row>
    <row r="292" hidden="1" outlineLevel="1">
      <c r="A292" s="71">
        <v>46277.0</v>
      </c>
      <c r="B292" s="74">
        <v>0.1</v>
      </c>
      <c r="C292" s="75">
        <v>0.1</v>
      </c>
      <c r="D292" s="76">
        <v>0.05</v>
      </c>
      <c r="E292" s="77">
        <v>3.0</v>
      </c>
      <c r="F292" s="78">
        <v>1000.0</v>
      </c>
      <c r="G292" s="79">
        <f t="shared" si="75"/>
        <v>0</v>
      </c>
      <c r="H292" s="80">
        <f t="shared" si="76"/>
        <v>0</v>
      </c>
      <c r="I292" s="81">
        <f t="shared" si="77"/>
        <v>0</v>
      </c>
      <c r="J292" s="82"/>
      <c r="K292" s="83"/>
      <c r="L292" s="84">
        <f t="shared" si="78"/>
        <v>0</v>
      </c>
      <c r="M292" s="65"/>
      <c r="N292" s="65"/>
      <c r="O292" s="65"/>
      <c r="P292" s="65"/>
      <c r="Q292" s="65"/>
      <c r="R292" s="65"/>
      <c r="S292" s="65"/>
      <c r="T292" s="65"/>
      <c r="U292" s="65"/>
      <c r="V292" s="65"/>
      <c r="W292" s="65"/>
      <c r="X292" s="65"/>
      <c r="Y292" s="65"/>
      <c r="Z292" s="66"/>
      <c r="AA292" s="66"/>
      <c r="AB292" s="66"/>
    </row>
    <row r="293" hidden="1" outlineLevel="1">
      <c r="A293" s="71">
        <v>46278.0</v>
      </c>
      <c r="B293" s="74">
        <v>0.1</v>
      </c>
      <c r="C293" s="75">
        <v>0.1</v>
      </c>
      <c r="D293" s="76">
        <v>0.05</v>
      </c>
      <c r="E293" s="77">
        <v>3.0</v>
      </c>
      <c r="F293" s="78">
        <v>1000.0</v>
      </c>
      <c r="G293" s="79">
        <f t="shared" si="75"/>
        <v>0</v>
      </c>
      <c r="H293" s="80">
        <f t="shared" si="76"/>
        <v>0</v>
      </c>
      <c r="I293" s="81">
        <f t="shared" si="77"/>
        <v>0</v>
      </c>
      <c r="J293" s="82"/>
      <c r="K293" s="83"/>
      <c r="L293" s="84">
        <f t="shared" si="78"/>
        <v>0</v>
      </c>
      <c r="M293" s="65"/>
      <c r="N293" s="65"/>
      <c r="O293" s="65"/>
      <c r="P293" s="65"/>
      <c r="Q293" s="65"/>
      <c r="R293" s="65"/>
      <c r="S293" s="65"/>
      <c r="T293" s="65"/>
      <c r="U293" s="65"/>
      <c r="V293" s="65"/>
      <c r="W293" s="65"/>
      <c r="X293" s="65"/>
      <c r="Y293" s="65"/>
      <c r="Z293" s="66"/>
      <c r="AA293" s="66"/>
      <c r="AB293" s="66"/>
    </row>
    <row r="294" hidden="1" outlineLevel="1">
      <c r="A294" s="71">
        <v>46279.0</v>
      </c>
      <c r="B294" s="74">
        <v>0.1</v>
      </c>
      <c r="C294" s="75">
        <v>0.1</v>
      </c>
      <c r="D294" s="76">
        <v>0.05</v>
      </c>
      <c r="E294" s="77">
        <v>3.0</v>
      </c>
      <c r="F294" s="78">
        <v>1000.0</v>
      </c>
      <c r="G294" s="79">
        <f t="shared" si="75"/>
        <v>0</v>
      </c>
      <c r="H294" s="80">
        <f t="shared" si="76"/>
        <v>0</v>
      </c>
      <c r="I294" s="81">
        <f t="shared" si="77"/>
        <v>0</v>
      </c>
      <c r="J294" s="82"/>
      <c r="K294" s="83"/>
      <c r="L294" s="84">
        <f t="shared" si="78"/>
        <v>0</v>
      </c>
      <c r="M294" s="65"/>
      <c r="N294" s="65"/>
      <c r="O294" s="65"/>
      <c r="P294" s="65"/>
      <c r="Q294" s="65"/>
      <c r="R294" s="65"/>
      <c r="S294" s="65"/>
      <c r="T294" s="65"/>
      <c r="U294" s="65"/>
      <c r="V294" s="65"/>
      <c r="W294" s="65"/>
      <c r="X294" s="65"/>
      <c r="Y294" s="65"/>
      <c r="Z294" s="66"/>
      <c r="AA294" s="66"/>
      <c r="AB294" s="66"/>
    </row>
    <row r="295" hidden="1" outlineLevel="1">
      <c r="A295" s="71">
        <v>46280.0</v>
      </c>
      <c r="B295" s="74">
        <v>0.1</v>
      </c>
      <c r="C295" s="75">
        <v>0.1</v>
      </c>
      <c r="D295" s="76">
        <v>0.05</v>
      </c>
      <c r="E295" s="77">
        <v>3.0</v>
      </c>
      <c r="F295" s="78">
        <v>1000.0</v>
      </c>
      <c r="G295" s="79">
        <f t="shared" si="75"/>
        <v>0</v>
      </c>
      <c r="H295" s="80">
        <f t="shared" si="76"/>
        <v>0</v>
      </c>
      <c r="I295" s="81">
        <f t="shared" si="77"/>
        <v>0</v>
      </c>
      <c r="J295" s="82"/>
      <c r="K295" s="83"/>
      <c r="L295" s="84">
        <f t="shared" si="78"/>
        <v>0</v>
      </c>
      <c r="M295" s="65"/>
      <c r="N295" s="65"/>
      <c r="O295" s="65"/>
      <c r="P295" s="65"/>
      <c r="Q295" s="65"/>
      <c r="R295" s="65"/>
      <c r="S295" s="65"/>
      <c r="T295" s="65"/>
      <c r="U295" s="65"/>
      <c r="V295" s="65"/>
      <c r="W295" s="65"/>
      <c r="X295" s="65"/>
      <c r="Y295" s="65"/>
      <c r="Z295" s="66"/>
      <c r="AA295" s="66"/>
      <c r="AB295" s="66"/>
    </row>
    <row r="296" hidden="1" outlineLevel="1">
      <c r="A296" s="71">
        <v>46281.0</v>
      </c>
      <c r="B296" s="74">
        <v>0.1</v>
      </c>
      <c r="C296" s="75">
        <v>0.1</v>
      </c>
      <c r="D296" s="76">
        <v>0.05</v>
      </c>
      <c r="E296" s="77">
        <v>3.0</v>
      </c>
      <c r="F296" s="78">
        <v>1000.0</v>
      </c>
      <c r="G296" s="79">
        <f t="shared" si="75"/>
        <v>0</v>
      </c>
      <c r="H296" s="80">
        <f t="shared" si="76"/>
        <v>0</v>
      </c>
      <c r="I296" s="81">
        <f t="shared" si="77"/>
        <v>0</v>
      </c>
      <c r="J296" s="82"/>
      <c r="K296" s="83"/>
      <c r="L296" s="84">
        <f t="shared" si="78"/>
        <v>0</v>
      </c>
      <c r="M296" s="65"/>
      <c r="N296" s="65"/>
      <c r="O296" s="65"/>
      <c r="P296" s="65"/>
      <c r="Q296" s="65"/>
      <c r="R296" s="65"/>
      <c r="S296" s="65"/>
      <c r="T296" s="65"/>
      <c r="U296" s="65"/>
      <c r="V296" s="65"/>
      <c r="W296" s="65"/>
      <c r="X296" s="65"/>
      <c r="Y296" s="65"/>
      <c r="Z296" s="66"/>
      <c r="AA296" s="66"/>
      <c r="AB296" s="66"/>
    </row>
    <row r="297" hidden="1" outlineLevel="1">
      <c r="A297" s="71">
        <v>46282.0</v>
      </c>
      <c r="B297" s="74">
        <v>0.1</v>
      </c>
      <c r="C297" s="75">
        <v>0.1</v>
      </c>
      <c r="D297" s="76">
        <v>0.05</v>
      </c>
      <c r="E297" s="77">
        <v>3.0</v>
      </c>
      <c r="F297" s="78">
        <v>1000.0</v>
      </c>
      <c r="G297" s="79">
        <f t="shared" si="75"/>
        <v>0</v>
      </c>
      <c r="H297" s="80">
        <f t="shared" si="76"/>
        <v>0</v>
      </c>
      <c r="I297" s="81">
        <f t="shared" si="77"/>
        <v>0</v>
      </c>
      <c r="J297" s="82"/>
      <c r="K297" s="83"/>
      <c r="L297" s="84">
        <f t="shared" si="78"/>
        <v>0</v>
      </c>
      <c r="M297" s="65"/>
      <c r="N297" s="65"/>
      <c r="O297" s="65"/>
      <c r="P297" s="65"/>
      <c r="Q297" s="65"/>
      <c r="R297" s="65"/>
      <c r="S297" s="65"/>
      <c r="T297" s="65"/>
      <c r="U297" s="65"/>
      <c r="V297" s="65"/>
      <c r="W297" s="65"/>
      <c r="X297" s="65"/>
      <c r="Y297" s="65"/>
      <c r="Z297" s="66"/>
      <c r="AA297" s="66"/>
      <c r="AB297" s="66"/>
    </row>
    <row r="298" hidden="1" outlineLevel="1">
      <c r="A298" s="71">
        <v>46283.0</v>
      </c>
      <c r="B298" s="74">
        <v>0.1</v>
      </c>
      <c r="C298" s="75">
        <v>0.1</v>
      </c>
      <c r="D298" s="76">
        <v>0.05</v>
      </c>
      <c r="E298" s="77">
        <v>3.0</v>
      </c>
      <c r="F298" s="78">
        <v>1000.0</v>
      </c>
      <c r="G298" s="79">
        <f t="shared" si="75"/>
        <v>0</v>
      </c>
      <c r="H298" s="80">
        <f t="shared" si="76"/>
        <v>0</v>
      </c>
      <c r="I298" s="81">
        <f t="shared" si="77"/>
        <v>0</v>
      </c>
      <c r="J298" s="82"/>
      <c r="K298" s="83"/>
      <c r="L298" s="84">
        <f t="shared" si="78"/>
        <v>0</v>
      </c>
      <c r="M298" s="65"/>
      <c r="N298" s="65"/>
      <c r="O298" s="65"/>
      <c r="P298" s="65"/>
      <c r="Q298" s="65"/>
      <c r="R298" s="65"/>
      <c r="S298" s="65"/>
      <c r="T298" s="65"/>
      <c r="U298" s="65"/>
      <c r="V298" s="65"/>
      <c r="W298" s="65"/>
      <c r="X298" s="65"/>
      <c r="Y298" s="65"/>
      <c r="Z298" s="66"/>
      <c r="AA298" s="66"/>
      <c r="AB298" s="66"/>
    </row>
    <row r="299" hidden="1" outlineLevel="1">
      <c r="A299" s="71">
        <v>46284.0</v>
      </c>
      <c r="B299" s="74">
        <v>0.1</v>
      </c>
      <c r="C299" s="75">
        <v>0.1</v>
      </c>
      <c r="D299" s="76">
        <v>0.05</v>
      </c>
      <c r="E299" s="77">
        <v>3.0</v>
      </c>
      <c r="F299" s="78">
        <v>1000.0</v>
      </c>
      <c r="G299" s="79">
        <f t="shared" si="75"/>
        <v>0</v>
      </c>
      <c r="H299" s="80">
        <f t="shared" si="76"/>
        <v>0</v>
      </c>
      <c r="I299" s="81">
        <f t="shared" si="77"/>
        <v>0</v>
      </c>
      <c r="J299" s="82"/>
      <c r="K299" s="83"/>
      <c r="L299" s="84">
        <f t="shared" si="78"/>
        <v>0</v>
      </c>
      <c r="M299" s="65"/>
      <c r="N299" s="65"/>
      <c r="O299" s="65"/>
      <c r="P299" s="65"/>
      <c r="Q299" s="65"/>
      <c r="R299" s="65"/>
      <c r="S299" s="65"/>
      <c r="T299" s="65"/>
      <c r="U299" s="65"/>
      <c r="V299" s="65"/>
      <c r="W299" s="65"/>
      <c r="X299" s="65"/>
      <c r="Y299" s="65"/>
      <c r="Z299" s="66"/>
      <c r="AA299" s="66"/>
      <c r="AB299" s="66"/>
    </row>
    <row r="300" hidden="1" outlineLevel="1">
      <c r="A300" s="71">
        <v>46285.0</v>
      </c>
      <c r="B300" s="74">
        <v>0.1</v>
      </c>
      <c r="C300" s="75">
        <v>0.1</v>
      </c>
      <c r="D300" s="76">
        <v>0.05</v>
      </c>
      <c r="E300" s="77">
        <v>3.0</v>
      </c>
      <c r="F300" s="78">
        <v>1000.0</v>
      </c>
      <c r="G300" s="79">
        <f t="shared" si="75"/>
        <v>0</v>
      </c>
      <c r="H300" s="80">
        <f t="shared" si="76"/>
        <v>0</v>
      </c>
      <c r="I300" s="81">
        <f t="shared" si="77"/>
        <v>0</v>
      </c>
      <c r="J300" s="82"/>
      <c r="K300" s="83"/>
      <c r="L300" s="84">
        <f t="shared" si="78"/>
        <v>0</v>
      </c>
      <c r="M300" s="65"/>
      <c r="N300" s="65"/>
      <c r="O300" s="65"/>
      <c r="P300" s="65"/>
      <c r="Q300" s="65"/>
      <c r="R300" s="65"/>
      <c r="S300" s="65"/>
      <c r="T300" s="65"/>
      <c r="U300" s="65"/>
      <c r="V300" s="65"/>
      <c r="W300" s="65"/>
      <c r="X300" s="65"/>
      <c r="Y300" s="65"/>
      <c r="Z300" s="66"/>
      <c r="AA300" s="66"/>
      <c r="AB300" s="66"/>
    </row>
    <row r="301" hidden="1" outlineLevel="1">
      <c r="A301" s="71">
        <v>46286.0</v>
      </c>
      <c r="B301" s="74">
        <v>0.1</v>
      </c>
      <c r="C301" s="75">
        <v>0.1</v>
      </c>
      <c r="D301" s="76">
        <v>0.05</v>
      </c>
      <c r="E301" s="77">
        <v>3.0</v>
      </c>
      <c r="F301" s="78">
        <v>1000.0</v>
      </c>
      <c r="G301" s="79">
        <f t="shared" si="75"/>
        <v>0</v>
      </c>
      <c r="H301" s="80">
        <f t="shared" si="76"/>
        <v>0</v>
      </c>
      <c r="I301" s="81">
        <f t="shared" si="77"/>
        <v>0</v>
      </c>
      <c r="J301" s="82"/>
      <c r="K301" s="83"/>
      <c r="L301" s="84">
        <f t="shared" si="78"/>
        <v>0</v>
      </c>
      <c r="M301" s="65"/>
      <c r="N301" s="65"/>
      <c r="O301" s="65"/>
      <c r="P301" s="65"/>
      <c r="Q301" s="65"/>
      <c r="R301" s="65"/>
      <c r="S301" s="65"/>
      <c r="T301" s="65"/>
      <c r="U301" s="65"/>
      <c r="V301" s="65"/>
      <c r="W301" s="65"/>
      <c r="X301" s="65"/>
      <c r="Y301" s="65"/>
      <c r="Z301" s="66"/>
      <c r="AA301" s="66"/>
      <c r="AB301" s="66"/>
    </row>
    <row r="302" hidden="1" outlineLevel="1">
      <c r="A302" s="71">
        <v>46287.0</v>
      </c>
      <c r="B302" s="74">
        <v>0.1</v>
      </c>
      <c r="C302" s="75">
        <v>0.1</v>
      </c>
      <c r="D302" s="76">
        <v>0.05</v>
      </c>
      <c r="E302" s="77">
        <v>3.0</v>
      </c>
      <c r="F302" s="78">
        <v>1000.0</v>
      </c>
      <c r="G302" s="79">
        <f t="shared" si="75"/>
        <v>0</v>
      </c>
      <c r="H302" s="80">
        <f t="shared" si="76"/>
        <v>0</v>
      </c>
      <c r="I302" s="81">
        <f t="shared" si="77"/>
        <v>0</v>
      </c>
      <c r="J302" s="82"/>
      <c r="K302" s="83"/>
      <c r="L302" s="84">
        <f t="shared" si="78"/>
        <v>0</v>
      </c>
      <c r="M302" s="65"/>
      <c r="N302" s="65"/>
      <c r="O302" s="65"/>
      <c r="P302" s="65"/>
      <c r="Q302" s="65"/>
      <c r="R302" s="65"/>
      <c r="S302" s="65"/>
      <c r="T302" s="65"/>
      <c r="U302" s="65"/>
      <c r="V302" s="65"/>
      <c r="W302" s="65"/>
      <c r="X302" s="65"/>
      <c r="Y302" s="65"/>
      <c r="Z302" s="66"/>
      <c r="AA302" s="66"/>
      <c r="AB302" s="66"/>
    </row>
    <row r="303" hidden="1" outlineLevel="1">
      <c r="A303" s="71">
        <v>46288.0</v>
      </c>
      <c r="B303" s="74">
        <v>0.1</v>
      </c>
      <c r="C303" s="75">
        <v>0.1</v>
      </c>
      <c r="D303" s="76">
        <v>0.05</v>
      </c>
      <c r="E303" s="77">
        <v>3.0</v>
      </c>
      <c r="F303" s="78">
        <v>1000.0</v>
      </c>
      <c r="G303" s="79">
        <f t="shared" si="75"/>
        <v>0</v>
      </c>
      <c r="H303" s="80">
        <f t="shared" si="76"/>
        <v>0</v>
      </c>
      <c r="I303" s="81">
        <f t="shared" si="77"/>
        <v>0</v>
      </c>
      <c r="J303" s="82"/>
      <c r="K303" s="83"/>
      <c r="L303" s="84">
        <f t="shared" si="78"/>
        <v>0</v>
      </c>
      <c r="M303" s="65"/>
      <c r="N303" s="65"/>
      <c r="O303" s="65"/>
      <c r="P303" s="65"/>
      <c r="Q303" s="65"/>
      <c r="R303" s="65"/>
      <c r="S303" s="65"/>
      <c r="T303" s="65"/>
      <c r="U303" s="65"/>
      <c r="V303" s="65"/>
      <c r="W303" s="65"/>
      <c r="X303" s="65"/>
      <c r="Y303" s="65"/>
      <c r="Z303" s="66"/>
      <c r="AA303" s="66"/>
      <c r="AB303" s="66"/>
    </row>
    <row r="304" hidden="1" outlineLevel="1">
      <c r="A304" s="71">
        <v>46289.0</v>
      </c>
      <c r="B304" s="74">
        <v>0.1</v>
      </c>
      <c r="C304" s="75">
        <v>0.1</v>
      </c>
      <c r="D304" s="76">
        <v>0.05</v>
      </c>
      <c r="E304" s="77">
        <v>3.0</v>
      </c>
      <c r="F304" s="78">
        <v>1000.0</v>
      </c>
      <c r="G304" s="79">
        <f t="shared" si="75"/>
        <v>0</v>
      </c>
      <c r="H304" s="80">
        <f t="shared" si="76"/>
        <v>0</v>
      </c>
      <c r="I304" s="81">
        <f t="shared" si="77"/>
        <v>0</v>
      </c>
      <c r="J304" s="82"/>
      <c r="K304" s="83"/>
      <c r="L304" s="84">
        <f t="shared" si="78"/>
        <v>0</v>
      </c>
      <c r="M304" s="65"/>
      <c r="N304" s="65"/>
      <c r="O304" s="65"/>
      <c r="P304" s="65"/>
      <c r="Q304" s="65"/>
      <c r="R304" s="65"/>
      <c r="S304" s="65"/>
      <c r="T304" s="65"/>
      <c r="U304" s="65"/>
      <c r="V304" s="65"/>
      <c r="W304" s="65"/>
      <c r="X304" s="65"/>
      <c r="Y304" s="65"/>
      <c r="Z304" s="66"/>
      <c r="AA304" s="66"/>
      <c r="AB304" s="66"/>
    </row>
    <row r="305" hidden="1" outlineLevel="1">
      <c r="A305" s="71">
        <v>46290.0</v>
      </c>
      <c r="B305" s="74">
        <v>0.1</v>
      </c>
      <c r="C305" s="75">
        <v>0.1</v>
      </c>
      <c r="D305" s="76">
        <v>0.05</v>
      </c>
      <c r="E305" s="77">
        <v>3.0</v>
      </c>
      <c r="F305" s="78">
        <v>1000.0</v>
      </c>
      <c r="G305" s="79">
        <f t="shared" si="75"/>
        <v>0</v>
      </c>
      <c r="H305" s="80">
        <f t="shared" si="76"/>
        <v>0</v>
      </c>
      <c r="I305" s="81">
        <f t="shared" si="77"/>
        <v>0</v>
      </c>
      <c r="J305" s="82"/>
      <c r="K305" s="83"/>
      <c r="L305" s="84">
        <f t="shared" si="78"/>
        <v>0</v>
      </c>
      <c r="M305" s="65"/>
      <c r="N305" s="65"/>
      <c r="O305" s="65"/>
      <c r="P305" s="65"/>
      <c r="Q305" s="65"/>
      <c r="R305" s="65"/>
      <c r="S305" s="65"/>
      <c r="T305" s="65"/>
      <c r="U305" s="65"/>
      <c r="V305" s="65"/>
      <c r="W305" s="65"/>
      <c r="X305" s="65"/>
      <c r="Y305" s="65"/>
      <c r="Z305" s="66"/>
      <c r="AA305" s="66"/>
      <c r="AB305" s="66"/>
    </row>
    <row r="306" hidden="1" outlineLevel="1">
      <c r="A306" s="71">
        <v>46291.0</v>
      </c>
      <c r="B306" s="74">
        <v>0.1</v>
      </c>
      <c r="C306" s="75">
        <v>0.1</v>
      </c>
      <c r="D306" s="76">
        <v>0.05</v>
      </c>
      <c r="E306" s="77">
        <v>3.0</v>
      </c>
      <c r="F306" s="78">
        <v>1000.0</v>
      </c>
      <c r="G306" s="79">
        <f t="shared" si="75"/>
        <v>0</v>
      </c>
      <c r="H306" s="80">
        <f t="shared" si="76"/>
        <v>0</v>
      </c>
      <c r="I306" s="81">
        <f t="shared" si="77"/>
        <v>0</v>
      </c>
      <c r="J306" s="82"/>
      <c r="K306" s="83"/>
      <c r="L306" s="84">
        <f t="shared" si="78"/>
        <v>0</v>
      </c>
      <c r="M306" s="65"/>
      <c r="N306" s="65"/>
      <c r="O306" s="65"/>
      <c r="P306" s="65"/>
      <c r="Q306" s="65"/>
      <c r="R306" s="65"/>
      <c r="S306" s="65"/>
      <c r="T306" s="65"/>
      <c r="U306" s="65"/>
      <c r="V306" s="65"/>
      <c r="W306" s="65"/>
      <c r="X306" s="65"/>
      <c r="Y306" s="65"/>
      <c r="Z306" s="66"/>
      <c r="AA306" s="66"/>
      <c r="AB306" s="66"/>
    </row>
    <row r="307" hidden="1" outlineLevel="1">
      <c r="A307" s="71">
        <v>46292.0</v>
      </c>
      <c r="B307" s="74">
        <v>0.1</v>
      </c>
      <c r="C307" s="75">
        <v>0.1</v>
      </c>
      <c r="D307" s="76">
        <v>0.05</v>
      </c>
      <c r="E307" s="77">
        <v>3.0</v>
      </c>
      <c r="F307" s="78">
        <v>1000.0</v>
      </c>
      <c r="G307" s="79">
        <f t="shared" si="75"/>
        <v>0</v>
      </c>
      <c r="H307" s="80">
        <f t="shared" si="76"/>
        <v>0</v>
      </c>
      <c r="I307" s="81">
        <f t="shared" si="77"/>
        <v>0</v>
      </c>
      <c r="J307" s="82"/>
      <c r="K307" s="83"/>
      <c r="L307" s="84">
        <f t="shared" si="78"/>
        <v>0</v>
      </c>
      <c r="M307" s="65"/>
      <c r="N307" s="65"/>
      <c r="O307" s="65"/>
      <c r="P307" s="65"/>
      <c r="Q307" s="65"/>
      <c r="R307" s="65"/>
      <c r="S307" s="65"/>
      <c r="T307" s="65"/>
      <c r="U307" s="65"/>
      <c r="V307" s="65"/>
      <c r="W307" s="65"/>
      <c r="X307" s="65"/>
      <c r="Y307" s="65"/>
      <c r="Z307" s="66"/>
      <c r="AA307" s="66"/>
      <c r="AB307" s="66"/>
    </row>
    <row r="308" hidden="1" outlineLevel="1">
      <c r="A308" s="71">
        <v>46293.0</v>
      </c>
      <c r="B308" s="74">
        <v>0.1</v>
      </c>
      <c r="C308" s="75">
        <v>0.1</v>
      </c>
      <c r="D308" s="76">
        <v>0.05</v>
      </c>
      <c r="E308" s="77">
        <v>3.0</v>
      </c>
      <c r="F308" s="78">
        <v>1000.0</v>
      </c>
      <c r="G308" s="79">
        <f t="shared" si="75"/>
        <v>0</v>
      </c>
      <c r="H308" s="80">
        <f t="shared" si="76"/>
        <v>0</v>
      </c>
      <c r="I308" s="81">
        <f t="shared" si="77"/>
        <v>0</v>
      </c>
      <c r="J308" s="82"/>
      <c r="K308" s="83"/>
      <c r="L308" s="84">
        <f t="shared" si="78"/>
        <v>0</v>
      </c>
      <c r="M308" s="65"/>
      <c r="N308" s="65"/>
      <c r="O308" s="65"/>
      <c r="P308" s="65"/>
      <c r="Q308" s="65"/>
      <c r="R308" s="65"/>
      <c r="S308" s="65"/>
      <c r="T308" s="65"/>
      <c r="U308" s="65"/>
      <c r="V308" s="65"/>
      <c r="W308" s="65"/>
      <c r="X308" s="65"/>
      <c r="Y308" s="65"/>
      <c r="Z308" s="66"/>
      <c r="AA308" s="66"/>
      <c r="AB308" s="66"/>
    </row>
    <row r="309" hidden="1" outlineLevel="1">
      <c r="A309" s="71">
        <v>46294.0</v>
      </c>
      <c r="B309" s="74">
        <v>0.1</v>
      </c>
      <c r="C309" s="75">
        <v>0.1</v>
      </c>
      <c r="D309" s="76">
        <v>0.05</v>
      </c>
      <c r="E309" s="77">
        <v>3.0</v>
      </c>
      <c r="F309" s="78">
        <v>1000.0</v>
      </c>
      <c r="G309" s="79">
        <f t="shared" si="75"/>
        <v>0</v>
      </c>
      <c r="H309" s="80">
        <f t="shared" si="76"/>
        <v>0</v>
      </c>
      <c r="I309" s="81">
        <f t="shared" si="77"/>
        <v>0</v>
      </c>
      <c r="J309" s="82"/>
      <c r="K309" s="83"/>
      <c r="L309" s="84">
        <f t="shared" si="78"/>
        <v>0</v>
      </c>
      <c r="M309" s="65"/>
      <c r="N309" s="65"/>
      <c r="O309" s="65"/>
      <c r="P309" s="65"/>
      <c r="Q309" s="65"/>
      <c r="R309" s="65"/>
      <c r="S309" s="65"/>
      <c r="T309" s="65"/>
      <c r="U309" s="65"/>
      <c r="V309" s="65"/>
      <c r="W309" s="65"/>
      <c r="X309" s="65"/>
      <c r="Y309" s="65"/>
      <c r="Z309" s="66"/>
      <c r="AA309" s="66"/>
      <c r="AB309" s="66"/>
    </row>
    <row r="310" hidden="1" outlineLevel="1">
      <c r="A310" s="71">
        <v>46295.0</v>
      </c>
      <c r="B310" s="74">
        <v>0.1</v>
      </c>
      <c r="C310" s="75">
        <v>0.1</v>
      </c>
      <c r="D310" s="76">
        <v>0.05</v>
      </c>
      <c r="E310" s="77">
        <v>3.0</v>
      </c>
      <c r="F310" s="78">
        <v>1000.0</v>
      </c>
      <c r="G310" s="79">
        <f t="shared" si="75"/>
        <v>0</v>
      </c>
      <c r="H310" s="80">
        <f t="shared" si="76"/>
        <v>0</v>
      </c>
      <c r="I310" s="81">
        <f t="shared" si="77"/>
        <v>0</v>
      </c>
      <c r="J310" s="82"/>
      <c r="K310" s="83"/>
      <c r="L310" s="84">
        <f t="shared" si="78"/>
        <v>0</v>
      </c>
      <c r="M310" s="65"/>
      <c r="N310" s="65"/>
      <c r="O310" s="65"/>
      <c r="P310" s="65"/>
      <c r="Q310" s="65"/>
      <c r="R310" s="65"/>
      <c r="S310" s="65"/>
      <c r="T310" s="65"/>
      <c r="U310" s="65"/>
      <c r="V310" s="65"/>
      <c r="W310" s="65"/>
      <c r="X310" s="65"/>
      <c r="Y310" s="65"/>
      <c r="Z310" s="66"/>
      <c r="AA310" s="66"/>
      <c r="AB310" s="66"/>
    </row>
    <row r="311" hidden="1" outlineLevel="1">
      <c r="A311" s="85" t="s">
        <v>41</v>
      </c>
      <c r="C311" s="86">
        <f>SUM(C281:C310)</f>
        <v>3</v>
      </c>
      <c r="D311" s="87"/>
      <c r="E311" s="87"/>
      <c r="F311" s="87"/>
      <c r="G311" s="87"/>
      <c r="H311" s="87"/>
      <c r="I311" s="88">
        <f t="shared" ref="I311:K311" si="79">SUM(I281:I310)</f>
        <v>0</v>
      </c>
      <c r="J311" s="89">
        <f t="shared" si="79"/>
        <v>0</v>
      </c>
      <c r="K311" s="87">
        <f t="shared" si="79"/>
        <v>0</v>
      </c>
      <c r="L311" s="89">
        <f>L310</f>
        <v>0</v>
      </c>
      <c r="M311" s="65"/>
      <c r="N311" s="65"/>
      <c r="O311" s="65"/>
      <c r="P311" s="65"/>
      <c r="Q311" s="65"/>
      <c r="R311" s="65"/>
      <c r="S311" s="65"/>
      <c r="T311" s="65"/>
      <c r="U311" s="65"/>
      <c r="V311" s="65"/>
      <c r="W311" s="65"/>
      <c r="X311" s="65"/>
      <c r="Y311" s="65"/>
      <c r="Z311" s="66"/>
      <c r="AA311" s="66"/>
      <c r="AB311" s="66"/>
    </row>
    <row r="312">
      <c r="A312" s="95"/>
      <c r="B312" s="92"/>
      <c r="C312" s="92"/>
      <c r="D312" s="92"/>
      <c r="E312" s="92"/>
      <c r="F312" s="92"/>
      <c r="G312" s="92"/>
      <c r="H312" s="92"/>
      <c r="I312" s="92"/>
      <c r="J312" s="92"/>
      <c r="K312" s="94">
        <f>SUM(K281:K310)</f>
        <v>0</v>
      </c>
      <c r="L312" s="92"/>
      <c r="M312" s="65"/>
      <c r="N312" s="65"/>
      <c r="O312" s="65"/>
      <c r="P312" s="65"/>
      <c r="Q312" s="65"/>
      <c r="R312" s="65"/>
      <c r="S312" s="65"/>
      <c r="T312" s="65"/>
      <c r="U312" s="65"/>
      <c r="V312" s="65"/>
      <c r="W312" s="65"/>
      <c r="X312" s="65"/>
      <c r="Y312" s="65"/>
      <c r="Z312" s="66"/>
      <c r="AA312" s="66"/>
      <c r="AB312" s="66"/>
    </row>
    <row r="313" collapsed="1">
      <c r="A313" s="57" t="s">
        <v>51</v>
      </c>
      <c r="M313" s="65"/>
      <c r="N313" s="65"/>
      <c r="O313" s="65"/>
      <c r="P313" s="65"/>
      <c r="Q313" s="65"/>
      <c r="R313" s="65"/>
      <c r="S313" s="65"/>
      <c r="T313" s="65"/>
      <c r="U313" s="65"/>
      <c r="V313" s="65"/>
      <c r="W313" s="65"/>
      <c r="X313" s="65"/>
      <c r="Y313" s="65"/>
      <c r="Z313" s="66"/>
      <c r="AA313" s="66"/>
      <c r="AB313" s="66"/>
    </row>
    <row r="314" hidden="1" outlineLevel="1">
      <c r="A314" s="71" t="s">
        <v>29</v>
      </c>
      <c r="B314" s="57" t="s">
        <v>30</v>
      </c>
      <c r="C314" s="57" t="s">
        <v>31</v>
      </c>
      <c r="D314" s="72" t="s">
        <v>32</v>
      </c>
      <c r="E314" s="72" t="s">
        <v>33</v>
      </c>
      <c r="F314" s="72" t="s">
        <v>34</v>
      </c>
      <c r="G314" s="73" t="s">
        <v>35</v>
      </c>
      <c r="H314" s="72" t="s">
        <v>36</v>
      </c>
      <c r="I314" s="57" t="s">
        <v>37</v>
      </c>
      <c r="J314" s="74" t="s">
        <v>38</v>
      </c>
      <c r="K314" s="57" t="s">
        <v>39</v>
      </c>
      <c r="L314" s="57" t="s">
        <v>40</v>
      </c>
      <c r="M314" s="65"/>
      <c r="N314" s="65"/>
      <c r="O314" s="65"/>
      <c r="P314" s="65"/>
      <c r="Q314" s="65"/>
      <c r="R314" s="65"/>
      <c r="S314" s="65"/>
      <c r="T314" s="65"/>
      <c r="U314" s="65"/>
      <c r="V314" s="65"/>
      <c r="W314" s="65"/>
      <c r="X314" s="65"/>
      <c r="Y314" s="65"/>
      <c r="Z314" s="66"/>
      <c r="AA314" s="66"/>
      <c r="AB314" s="66"/>
    </row>
    <row r="315" hidden="1" outlineLevel="1">
      <c r="A315" s="71">
        <v>46296.0</v>
      </c>
      <c r="B315" s="74">
        <v>0.1</v>
      </c>
      <c r="C315" s="75">
        <v>0.1</v>
      </c>
      <c r="D315" s="76">
        <v>0.05</v>
      </c>
      <c r="E315" s="77">
        <v>3.0</v>
      </c>
      <c r="F315" s="78">
        <v>1000.0</v>
      </c>
      <c r="G315" s="79">
        <f>L311*C315</f>
        <v>0</v>
      </c>
      <c r="H315" s="80">
        <f>L311*D315</f>
        <v>0</v>
      </c>
      <c r="I315" s="81">
        <f>(J315/L311)*100</f>
        <v>0</v>
      </c>
      <c r="J315" s="82"/>
      <c r="K315" s="83"/>
      <c r="L315" s="84">
        <f>(L311+J315)-K315</f>
        <v>0</v>
      </c>
      <c r="M315" s="65"/>
      <c r="N315" s="65"/>
      <c r="O315" s="65"/>
      <c r="P315" s="65"/>
      <c r="Q315" s="65"/>
      <c r="R315" s="65"/>
      <c r="S315" s="65"/>
      <c r="T315" s="65"/>
      <c r="U315" s="65"/>
      <c r="V315" s="65"/>
      <c r="W315" s="65"/>
      <c r="X315" s="65"/>
      <c r="Y315" s="65"/>
      <c r="Z315" s="66"/>
      <c r="AA315" s="66"/>
      <c r="AB315" s="66"/>
    </row>
    <row r="316" hidden="1" outlineLevel="1">
      <c r="A316" s="71">
        <v>46297.0</v>
      </c>
      <c r="B316" s="74">
        <v>0.1</v>
      </c>
      <c r="C316" s="75">
        <v>0.1</v>
      </c>
      <c r="D316" s="76">
        <v>0.05</v>
      </c>
      <c r="E316" s="77">
        <v>3.0</v>
      </c>
      <c r="F316" s="78">
        <v>1000.0</v>
      </c>
      <c r="G316" s="79">
        <f t="shared" ref="G316:G345" si="80">L315*C316</f>
        <v>0</v>
      </c>
      <c r="H316" s="80">
        <f t="shared" ref="H316:H345" si="81">L315*D316</f>
        <v>0</v>
      </c>
      <c r="I316" s="81">
        <f t="shared" ref="I316:I345" si="82">(J316/L315)*100</f>
        <v>0</v>
      </c>
      <c r="J316" s="82"/>
      <c r="K316" s="83"/>
      <c r="L316" s="84">
        <f t="shared" ref="L316:L345" si="83">(L315+J316)-K316</f>
        <v>0</v>
      </c>
      <c r="M316" s="65"/>
      <c r="N316" s="65"/>
      <c r="O316" s="65"/>
      <c r="P316" s="65"/>
      <c r="Q316" s="65"/>
      <c r="R316" s="65"/>
      <c r="S316" s="65"/>
      <c r="T316" s="65"/>
      <c r="U316" s="65"/>
      <c r="V316" s="65"/>
      <c r="W316" s="65"/>
      <c r="X316" s="65"/>
      <c r="Y316" s="65"/>
      <c r="Z316" s="66"/>
      <c r="AA316" s="66"/>
      <c r="AB316" s="66"/>
    </row>
    <row r="317" hidden="1" outlineLevel="1">
      <c r="A317" s="71">
        <v>46298.0</v>
      </c>
      <c r="B317" s="74">
        <v>0.1</v>
      </c>
      <c r="C317" s="75">
        <v>0.1</v>
      </c>
      <c r="D317" s="76">
        <v>0.05</v>
      </c>
      <c r="E317" s="77">
        <v>3.0</v>
      </c>
      <c r="F317" s="78">
        <v>1000.0</v>
      </c>
      <c r="G317" s="79">
        <f t="shared" si="80"/>
        <v>0</v>
      </c>
      <c r="H317" s="80">
        <f t="shared" si="81"/>
        <v>0</v>
      </c>
      <c r="I317" s="81">
        <f t="shared" si="82"/>
        <v>0</v>
      </c>
      <c r="J317" s="82"/>
      <c r="K317" s="83"/>
      <c r="L317" s="84">
        <f t="shared" si="83"/>
        <v>0</v>
      </c>
      <c r="M317" s="65"/>
      <c r="N317" s="65"/>
      <c r="O317" s="65"/>
      <c r="P317" s="65"/>
      <c r="Q317" s="65"/>
      <c r="R317" s="65"/>
      <c r="S317" s="65"/>
      <c r="T317" s="65"/>
      <c r="U317" s="65"/>
      <c r="V317" s="65"/>
      <c r="W317" s="65"/>
      <c r="X317" s="65"/>
      <c r="Y317" s="65"/>
      <c r="Z317" s="66"/>
      <c r="AA317" s="66"/>
      <c r="AB317" s="66"/>
    </row>
    <row r="318" hidden="1" outlineLevel="1">
      <c r="A318" s="71">
        <v>46299.0</v>
      </c>
      <c r="B318" s="74">
        <v>0.1</v>
      </c>
      <c r="C318" s="75">
        <v>0.1</v>
      </c>
      <c r="D318" s="76">
        <v>0.05</v>
      </c>
      <c r="E318" s="77">
        <v>3.0</v>
      </c>
      <c r="F318" s="78">
        <v>1000.0</v>
      </c>
      <c r="G318" s="79">
        <f t="shared" si="80"/>
        <v>0</v>
      </c>
      <c r="H318" s="80">
        <f t="shared" si="81"/>
        <v>0</v>
      </c>
      <c r="I318" s="81">
        <f t="shared" si="82"/>
        <v>0</v>
      </c>
      <c r="J318" s="82"/>
      <c r="K318" s="83"/>
      <c r="L318" s="84">
        <f t="shared" si="83"/>
        <v>0</v>
      </c>
      <c r="M318" s="65"/>
      <c r="N318" s="65"/>
      <c r="O318" s="65"/>
      <c r="P318" s="65"/>
      <c r="Q318" s="65"/>
      <c r="R318" s="65"/>
      <c r="S318" s="65"/>
      <c r="T318" s="65"/>
      <c r="U318" s="65"/>
      <c r="V318" s="65"/>
      <c r="W318" s="65"/>
      <c r="X318" s="65"/>
      <c r="Y318" s="65"/>
      <c r="Z318" s="66"/>
      <c r="AA318" s="66"/>
      <c r="AB318" s="66"/>
    </row>
    <row r="319" hidden="1" outlineLevel="1">
      <c r="A319" s="71">
        <v>46300.0</v>
      </c>
      <c r="B319" s="74">
        <v>0.1</v>
      </c>
      <c r="C319" s="75">
        <v>0.1</v>
      </c>
      <c r="D319" s="76">
        <v>0.05</v>
      </c>
      <c r="E319" s="77">
        <v>3.0</v>
      </c>
      <c r="F319" s="78">
        <v>1000.0</v>
      </c>
      <c r="G319" s="79">
        <f t="shared" si="80"/>
        <v>0</v>
      </c>
      <c r="H319" s="80">
        <f t="shared" si="81"/>
        <v>0</v>
      </c>
      <c r="I319" s="81">
        <f t="shared" si="82"/>
        <v>0</v>
      </c>
      <c r="J319" s="82"/>
      <c r="K319" s="83"/>
      <c r="L319" s="84">
        <f t="shared" si="83"/>
        <v>0</v>
      </c>
      <c r="M319" s="65"/>
      <c r="N319" s="65"/>
      <c r="O319" s="65"/>
      <c r="P319" s="65"/>
      <c r="Q319" s="65"/>
      <c r="R319" s="65"/>
      <c r="S319" s="65"/>
      <c r="T319" s="65"/>
      <c r="U319" s="65"/>
      <c r="V319" s="65"/>
      <c r="W319" s="65"/>
      <c r="X319" s="65"/>
      <c r="Y319" s="65"/>
      <c r="Z319" s="66"/>
      <c r="AA319" s="66"/>
      <c r="AB319" s="66"/>
    </row>
    <row r="320" hidden="1" outlineLevel="1">
      <c r="A320" s="71">
        <v>46301.0</v>
      </c>
      <c r="B320" s="74">
        <v>0.1</v>
      </c>
      <c r="C320" s="75">
        <v>0.1</v>
      </c>
      <c r="D320" s="76">
        <v>0.05</v>
      </c>
      <c r="E320" s="77">
        <v>3.0</v>
      </c>
      <c r="F320" s="78">
        <v>1000.0</v>
      </c>
      <c r="G320" s="79">
        <f t="shared" si="80"/>
        <v>0</v>
      </c>
      <c r="H320" s="80">
        <f t="shared" si="81"/>
        <v>0</v>
      </c>
      <c r="I320" s="81">
        <f t="shared" si="82"/>
        <v>0</v>
      </c>
      <c r="J320" s="82"/>
      <c r="K320" s="83"/>
      <c r="L320" s="84">
        <f t="shared" si="83"/>
        <v>0</v>
      </c>
      <c r="M320" s="65"/>
      <c r="N320" s="65"/>
      <c r="O320" s="65"/>
      <c r="P320" s="65"/>
      <c r="Q320" s="65"/>
      <c r="R320" s="65"/>
      <c r="S320" s="65"/>
      <c r="T320" s="65"/>
      <c r="U320" s="65"/>
      <c r="V320" s="65"/>
      <c r="W320" s="65"/>
      <c r="X320" s="65"/>
      <c r="Y320" s="65"/>
      <c r="Z320" s="66"/>
      <c r="AA320" s="66"/>
      <c r="AB320" s="66"/>
    </row>
    <row r="321" hidden="1" outlineLevel="1">
      <c r="A321" s="71">
        <v>46302.0</v>
      </c>
      <c r="B321" s="74">
        <v>0.1</v>
      </c>
      <c r="C321" s="75">
        <v>0.1</v>
      </c>
      <c r="D321" s="76">
        <v>0.05</v>
      </c>
      <c r="E321" s="77">
        <v>3.0</v>
      </c>
      <c r="F321" s="78">
        <v>1000.0</v>
      </c>
      <c r="G321" s="79">
        <f t="shared" si="80"/>
        <v>0</v>
      </c>
      <c r="H321" s="80">
        <f t="shared" si="81"/>
        <v>0</v>
      </c>
      <c r="I321" s="81">
        <f t="shared" si="82"/>
        <v>0</v>
      </c>
      <c r="J321" s="82"/>
      <c r="K321" s="83"/>
      <c r="L321" s="84">
        <f t="shared" si="83"/>
        <v>0</v>
      </c>
      <c r="M321" s="65"/>
      <c r="N321" s="65"/>
      <c r="O321" s="65"/>
      <c r="P321" s="65"/>
      <c r="Q321" s="65"/>
      <c r="R321" s="65"/>
      <c r="S321" s="65"/>
      <c r="T321" s="65"/>
      <c r="U321" s="65"/>
      <c r="V321" s="65"/>
      <c r="W321" s="65"/>
      <c r="X321" s="65"/>
      <c r="Y321" s="65"/>
      <c r="Z321" s="66"/>
      <c r="AA321" s="66"/>
      <c r="AB321" s="66"/>
    </row>
    <row r="322" hidden="1" outlineLevel="1">
      <c r="A322" s="71">
        <v>46303.0</v>
      </c>
      <c r="B322" s="74">
        <v>0.1</v>
      </c>
      <c r="C322" s="75">
        <v>0.1</v>
      </c>
      <c r="D322" s="76">
        <v>0.05</v>
      </c>
      <c r="E322" s="77">
        <v>3.0</v>
      </c>
      <c r="F322" s="78">
        <v>1000.0</v>
      </c>
      <c r="G322" s="79">
        <f t="shared" si="80"/>
        <v>0</v>
      </c>
      <c r="H322" s="80">
        <f t="shared" si="81"/>
        <v>0</v>
      </c>
      <c r="I322" s="81">
        <f t="shared" si="82"/>
        <v>0</v>
      </c>
      <c r="J322" s="82"/>
      <c r="K322" s="83"/>
      <c r="L322" s="84">
        <f t="shared" si="83"/>
        <v>0</v>
      </c>
      <c r="M322" s="65"/>
      <c r="N322" s="65"/>
      <c r="O322" s="65"/>
      <c r="P322" s="65"/>
      <c r="Q322" s="65"/>
      <c r="R322" s="65"/>
      <c r="S322" s="65"/>
      <c r="T322" s="65"/>
      <c r="U322" s="65"/>
      <c r="V322" s="65"/>
      <c r="W322" s="65"/>
      <c r="X322" s="65"/>
      <c r="Y322" s="65"/>
      <c r="Z322" s="66"/>
      <c r="AA322" s="66"/>
      <c r="AB322" s="66"/>
    </row>
    <row r="323" hidden="1" outlineLevel="1">
      <c r="A323" s="71">
        <v>46304.0</v>
      </c>
      <c r="B323" s="74">
        <v>0.1</v>
      </c>
      <c r="C323" s="75">
        <v>0.1</v>
      </c>
      <c r="D323" s="76">
        <v>0.05</v>
      </c>
      <c r="E323" s="77">
        <v>3.0</v>
      </c>
      <c r="F323" s="78">
        <v>1000.0</v>
      </c>
      <c r="G323" s="79">
        <f t="shared" si="80"/>
        <v>0</v>
      </c>
      <c r="H323" s="80">
        <f t="shared" si="81"/>
        <v>0</v>
      </c>
      <c r="I323" s="81">
        <f t="shared" si="82"/>
        <v>0</v>
      </c>
      <c r="J323" s="82"/>
      <c r="K323" s="83"/>
      <c r="L323" s="84">
        <f t="shared" si="83"/>
        <v>0</v>
      </c>
      <c r="M323" s="65"/>
      <c r="N323" s="65"/>
      <c r="O323" s="65"/>
      <c r="P323" s="65"/>
      <c r="Q323" s="65"/>
      <c r="R323" s="65"/>
      <c r="S323" s="65"/>
      <c r="T323" s="65"/>
      <c r="U323" s="65"/>
      <c r="V323" s="65"/>
      <c r="W323" s="65"/>
      <c r="X323" s="65"/>
      <c r="Y323" s="65"/>
      <c r="Z323" s="66"/>
      <c r="AA323" s="66"/>
      <c r="AB323" s="66"/>
    </row>
    <row r="324" hidden="1" outlineLevel="1">
      <c r="A324" s="71">
        <v>46305.0</v>
      </c>
      <c r="B324" s="74">
        <v>0.1</v>
      </c>
      <c r="C324" s="75">
        <v>0.1</v>
      </c>
      <c r="D324" s="76">
        <v>0.05</v>
      </c>
      <c r="E324" s="77">
        <v>3.0</v>
      </c>
      <c r="F324" s="78">
        <v>1000.0</v>
      </c>
      <c r="G324" s="79">
        <f t="shared" si="80"/>
        <v>0</v>
      </c>
      <c r="H324" s="80">
        <f t="shared" si="81"/>
        <v>0</v>
      </c>
      <c r="I324" s="81">
        <f t="shared" si="82"/>
        <v>0</v>
      </c>
      <c r="J324" s="82"/>
      <c r="K324" s="83"/>
      <c r="L324" s="84">
        <f t="shared" si="83"/>
        <v>0</v>
      </c>
      <c r="M324" s="65"/>
      <c r="N324" s="65"/>
      <c r="O324" s="65"/>
      <c r="P324" s="65"/>
      <c r="Q324" s="65"/>
      <c r="R324" s="65"/>
      <c r="S324" s="65"/>
      <c r="T324" s="65"/>
      <c r="U324" s="65"/>
      <c r="V324" s="65"/>
      <c r="W324" s="65"/>
      <c r="X324" s="65"/>
      <c r="Y324" s="65"/>
      <c r="Z324" s="66"/>
      <c r="AA324" s="66"/>
      <c r="AB324" s="66"/>
    </row>
    <row r="325" hidden="1" outlineLevel="1">
      <c r="A325" s="71">
        <v>46306.0</v>
      </c>
      <c r="B325" s="74">
        <v>0.1</v>
      </c>
      <c r="C325" s="75">
        <v>0.1</v>
      </c>
      <c r="D325" s="76">
        <v>0.05</v>
      </c>
      <c r="E325" s="77">
        <v>3.0</v>
      </c>
      <c r="F325" s="78">
        <v>1000.0</v>
      </c>
      <c r="G325" s="79">
        <f t="shared" si="80"/>
        <v>0</v>
      </c>
      <c r="H325" s="80">
        <f t="shared" si="81"/>
        <v>0</v>
      </c>
      <c r="I325" s="81">
        <f t="shared" si="82"/>
        <v>0</v>
      </c>
      <c r="J325" s="82"/>
      <c r="K325" s="83"/>
      <c r="L325" s="84">
        <f t="shared" si="83"/>
        <v>0</v>
      </c>
      <c r="M325" s="65"/>
      <c r="N325" s="65"/>
      <c r="O325" s="65"/>
      <c r="P325" s="65"/>
      <c r="Q325" s="65"/>
      <c r="R325" s="65"/>
      <c r="S325" s="65"/>
      <c r="T325" s="65"/>
      <c r="U325" s="65"/>
      <c r="V325" s="65"/>
      <c r="W325" s="65"/>
      <c r="X325" s="65"/>
      <c r="Y325" s="65"/>
      <c r="Z325" s="66"/>
      <c r="AA325" s="66"/>
      <c r="AB325" s="66"/>
    </row>
    <row r="326" hidden="1" outlineLevel="1">
      <c r="A326" s="71">
        <v>46307.0</v>
      </c>
      <c r="B326" s="74">
        <v>0.1</v>
      </c>
      <c r="C326" s="75">
        <v>0.1</v>
      </c>
      <c r="D326" s="76">
        <v>0.05</v>
      </c>
      <c r="E326" s="77">
        <v>3.0</v>
      </c>
      <c r="F326" s="78">
        <v>1000.0</v>
      </c>
      <c r="G326" s="79">
        <f t="shared" si="80"/>
        <v>0</v>
      </c>
      <c r="H326" s="80">
        <f t="shared" si="81"/>
        <v>0</v>
      </c>
      <c r="I326" s="81">
        <f t="shared" si="82"/>
        <v>0</v>
      </c>
      <c r="J326" s="82"/>
      <c r="K326" s="83"/>
      <c r="L326" s="84">
        <f t="shared" si="83"/>
        <v>0</v>
      </c>
      <c r="M326" s="65"/>
      <c r="N326" s="65"/>
      <c r="O326" s="65"/>
      <c r="P326" s="65"/>
      <c r="Q326" s="65"/>
      <c r="R326" s="65"/>
      <c r="S326" s="65"/>
      <c r="T326" s="65"/>
      <c r="U326" s="65"/>
      <c r="V326" s="65"/>
      <c r="W326" s="65"/>
      <c r="X326" s="65"/>
      <c r="Y326" s="65"/>
      <c r="Z326" s="66"/>
      <c r="AA326" s="66"/>
      <c r="AB326" s="66"/>
    </row>
    <row r="327" hidden="1" outlineLevel="1">
      <c r="A327" s="71">
        <v>46308.0</v>
      </c>
      <c r="B327" s="74">
        <v>0.1</v>
      </c>
      <c r="C327" s="75">
        <v>0.1</v>
      </c>
      <c r="D327" s="76">
        <v>0.05</v>
      </c>
      <c r="E327" s="77">
        <v>3.0</v>
      </c>
      <c r="F327" s="78">
        <v>1000.0</v>
      </c>
      <c r="G327" s="79">
        <f t="shared" si="80"/>
        <v>0</v>
      </c>
      <c r="H327" s="80">
        <f t="shared" si="81"/>
        <v>0</v>
      </c>
      <c r="I327" s="81">
        <f t="shared" si="82"/>
        <v>0</v>
      </c>
      <c r="J327" s="82"/>
      <c r="K327" s="83"/>
      <c r="L327" s="84">
        <f t="shared" si="83"/>
        <v>0</v>
      </c>
      <c r="M327" s="65"/>
      <c r="N327" s="65"/>
      <c r="O327" s="65"/>
      <c r="P327" s="65"/>
      <c r="Q327" s="65"/>
      <c r="R327" s="65"/>
      <c r="S327" s="65"/>
      <c r="T327" s="65"/>
      <c r="U327" s="65"/>
      <c r="V327" s="65"/>
      <c r="W327" s="65"/>
      <c r="X327" s="65"/>
      <c r="Y327" s="65"/>
      <c r="Z327" s="66"/>
      <c r="AA327" s="66"/>
      <c r="AB327" s="66"/>
    </row>
    <row r="328" hidden="1" outlineLevel="1">
      <c r="A328" s="71">
        <v>46309.0</v>
      </c>
      <c r="B328" s="74">
        <v>0.1</v>
      </c>
      <c r="C328" s="75">
        <v>0.1</v>
      </c>
      <c r="D328" s="76">
        <v>0.05</v>
      </c>
      <c r="E328" s="77">
        <v>3.0</v>
      </c>
      <c r="F328" s="78">
        <v>1000.0</v>
      </c>
      <c r="G328" s="79">
        <f t="shared" si="80"/>
        <v>0</v>
      </c>
      <c r="H328" s="80">
        <f t="shared" si="81"/>
        <v>0</v>
      </c>
      <c r="I328" s="81">
        <f t="shared" si="82"/>
        <v>0</v>
      </c>
      <c r="J328" s="82"/>
      <c r="K328" s="83"/>
      <c r="L328" s="84">
        <f t="shared" si="83"/>
        <v>0</v>
      </c>
      <c r="M328" s="65"/>
      <c r="N328" s="65"/>
      <c r="O328" s="65"/>
      <c r="P328" s="65"/>
      <c r="Q328" s="65"/>
      <c r="R328" s="65"/>
      <c r="S328" s="65"/>
      <c r="T328" s="65"/>
      <c r="U328" s="65"/>
      <c r="V328" s="65"/>
      <c r="W328" s="65"/>
      <c r="X328" s="65"/>
      <c r="Y328" s="65"/>
      <c r="Z328" s="66"/>
      <c r="AA328" s="66"/>
      <c r="AB328" s="66"/>
    </row>
    <row r="329" hidden="1" outlineLevel="1">
      <c r="A329" s="71">
        <v>46310.0</v>
      </c>
      <c r="B329" s="74">
        <v>0.1</v>
      </c>
      <c r="C329" s="75">
        <v>0.1</v>
      </c>
      <c r="D329" s="76">
        <v>0.05</v>
      </c>
      <c r="E329" s="77">
        <v>3.0</v>
      </c>
      <c r="F329" s="78">
        <v>1000.0</v>
      </c>
      <c r="G329" s="79">
        <f t="shared" si="80"/>
        <v>0</v>
      </c>
      <c r="H329" s="80">
        <f t="shared" si="81"/>
        <v>0</v>
      </c>
      <c r="I329" s="81">
        <f t="shared" si="82"/>
        <v>0</v>
      </c>
      <c r="J329" s="82"/>
      <c r="K329" s="83"/>
      <c r="L329" s="84">
        <f t="shared" si="83"/>
        <v>0</v>
      </c>
      <c r="M329" s="65"/>
      <c r="N329" s="65"/>
      <c r="O329" s="65"/>
      <c r="P329" s="65"/>
      <c r="Q329" s="65"/>
      <c r="R329" s="65"/>
      <c r="S329" s="65"/>
      <c r="T329" s="65"/>
      <c r="U329" s="65"/>
      <c r="V329" s="65"/>
      <c r="W329" s="65"/>
      <c r="X329" s="65"/>
      <c r="Y329" s="65"/>
      <c r="Z329" s="66"/>
      <c r="AA329" s="66"/>
      <c r="AB329" s="66"/>
    </row>
    <row r="330" hidden="1" outlineLevel="1">
      <c r="A330" s="71">
        <v>46311.0</v>
      </c>
      <c r="B330" s="74">
        <v>0.1</v>
      </c>
      <c r="C330" s="75">
        <v>0.1</v>
      </c>
      <c r="D330" s="76">
        <v>0.05</v>
      </c>
      <c r="E330" s="77">
        <v>3.0</v>
      </c>
      <c r="F330" s="78">
        <v>1000.0</v>
      </c>
      <c r="G330" s="79">
        <f t="shared" si="80"/>
        <v>0</v>
      </c>
      <c r="H330" s="80">
        <f t="shared" si="81"/>
        <v>0</v>
      </c>
      <c r="I330" s="81">
        <f t="shared" si="82"/>
        <v>0</v>
      </c>
      <c r="J330" s="82"/>
      <c r="K330" s="83"/>
      <c r="L330" s="84">
        <f t="shared" si="83"/>
        <v>0</v>
      </c>
      <c r="M330" s="65"/>
      <c r="N330" s="65"/>
      <c r="O330" s="65"/>
      <c r="P330" s="65"/>
      <c r="Q330" s="65"/>
      <c r="R330" s="65"/>
      <c r="S330" s="65"/>
      <c r="T330" s="65"/>
      <c r="U330" s="65"/>
      <c r="V330" s="65"/>
      <c r="W330" s="65"/>
      <c r="X330" s="65"/>
      <c r="Y330" s="65"/>
      <c r="Z330" s="66"/>
      <c r="AA330" s="66"/>
      <c r="AB330" s="66"/>
    </row>
    <row r="331" hidden="1" outlineLevel="1">
      <c r="A331" s="71">
        <v>46312.0</v>
      </c>
      <c r="B331" s="74">
        <v>0.1</v>
      </c>
      <c r="C331" s="75">
        <v>0.1</v>
      </c>
      <c r="D331" s="76">
        <v>0.05</v>
      </c>
      <c r="E331" s="77">
        <v>3.0</v>
      </c>
      <c r="F331" s="78">
        <v>1000.0</v>
      </c>
      <c r="G331" s="79">
        <f t="shared" si="80"/>
        <v>0</v>
      </c>
      <c r="H331" s="80">
        <f t="shared" si="81"/>
        <v>0</v>
      </c>
      <c r="I331" s="81">
        <f t="shared" si="82"/>
        <v>0</v>
      </c>
      <c r="J331" s="82"/>
      <c r="K331" s="83"/>
      <c r="L331" s="84">
        <f t="shared" si="83"/>
        <v>0</v>
      </c>
      <c r="M331" s="65"/>
      <c r="N331" s="65"/>
      <c r="O331" s="65"/>
      <c r="P331" s="65"/>
      <c r="Q331" s="65"/>
      <c r="R331" s="65"/>
      <c r="S331" s="65"/>
      <c r="T331" s="65"/>
      <c r="U331" s="65"/>
      <c r="V331" s="65"/>
      <c r="W331" s="65"/>
      <c r="X331" s="65"/>
      <c r="Y331" s="65"/>
      <c r="Z331" s="66"/>
      <c r="AA331" s="66"/>
      <c r="AB331" s="66"/>
    </row>
    <row r="332" hidden="1" outlineLevel="1">
      <c r="A332" s="71">
        <v>46313.0</v>
      </c>
      <c r="B332" s="74">
        <v>0.1</v>
      </c>
      <c r="C332" s="75">
        <v>0.1</v>
      </c>
      <c r="D332" s="76">
        <v>0.05</v>
      </c>
      <c r="E332" s="77">
        <v>3.0</v>
      </c>
      <c r="F332" s="78">
        <v>1000.0</v>
      </c>
      <c r="G332" s="79">
        <f t="shared" si="80"/>
        <v>0</v>
      </c>
      <c r="H332" s="80">
        <f t="shared" si="81"/>
        <v>0</v>
      </c>
      <c r="I332" s="81">
        <f t="shared" si="82"/>
        <v>0</v>
      </c>
      <c r="J332" s="82"/>
      <c r="K332" s="83"/>
      <c r="L332" s="84">
        <f t="shared" si="83"/>
        <v>0</v>
      </c>
      <c r="M332" s="65"/>
      <c r="N332" s="65"/>
      <c r="O332" s="65"/>
      <c r="P332" s="65"/>
      <c r="Q332" s="65"/>
      <c r="R332" s="65"/>
      <c r="S332" s="65"/>
      <c r="T332" s="65"/>
      <c r="U332" s="65"/>
      <c r="V332" s="65"/>
      <c r="W332" s="65"/>
      <c r="X332" s="65"/>
      <c r="Y332" s="65"/>
      <c r="Z332" s="66"/>
      <c r="AA332" s="66"/>
      <c r="AB332" s="66"/>
    </row>
    <row r="333" hidden="1" outlineLevel="1">
      <c r="A333" s="71">
        <v>46314.0</v>
      </c>
      <c r="B333" s="74">
        <v>0.1</v>
      </c>
      <c r="C333" s="75">
        <v>0.1</v>
      </c>
      <c r="D333" s="76">
        <v>0.05</v>
      </c>
      <c r="E333" s="77">
        <v>3.0</v>
      </c>
      <c r="F333" s="78">
        <v>1000.0</v>
      </c>
      <c r="G333" s="79">
        <f t="shared" si="80"/>
        <v>0</v>
      </c>
      <c r="H333" s="80">
        <f t="shared" si="81"/>
        <v>0</v>
      </c>
      <c r="I333" s="81">
        <f t="shared" si="82"/>
        <v>0</v>
      </c>
      <c r="J333" s="82"/>
      <c r="K333" s="83"/>
      <c r="L333" s="84">
        <f t="shared" si="83"/>
        <v>0</v>
      </c>
      <c r="M333" s="65"/>
      <c r="N333" s="65"/>
      <c r="O333" s="65"/>
      <c r="P333" s="65"/>
      <c r="Q333" s="65"/>
      <c r="R333" s="65"/>
      <c r="S333" s="65"/>
      <c r="T333" s="65"/>
      <c r="U333" s="65"/>
      <c r="V333" s="65"/>
      <c r="W333" s="65"/>
      <c r="X333" s="65"/>
      <c r="Y333" s="65"/>
      <c r="Z333" s="66"/>
      <c r="AA333" s="66"/>
      <c r="AB333" s="66"/>
    </row>
    <row r="334" hidden="1" outlineLevel="1">
      <c r="A334" s="71">
        <v>46315.0</v>
      </c>
      <c r="B334" s="74">
        <v>0.1</v>
      </c>
      <c r="C334" s="75">
        <v>0.1</v>
      </c>
      <c r="D334" s="76">
        <v>0.05</v>
      </c>
      <c r="E334" s="77">
        <v>3.0</v>
      </c>
      <c r="F334" s="78">
        <v>1000.0</v>
      </c>
      <c r="G334" s="79">
        <f t="shared" si="80"/>
        <v>0</v>
      </c>
      <c r="H334" s="80">
        <f t="shared" si="81"/>
        <v>0</v>
      </c>
      <c r="I334" s="81">
        <f t="shared" si="82"/>
        <v>0</v>
      </c>
      <c r="J334" s="82"/>
      <c r="K334" s="83"/>
      <c r="L334" s="84">
        <f t="shared" si="83"/>
        <v>0</v>
      </c>
      <c r="M334" s="65"/>
      <c r="N334" s="65"/>
      <c r="O334" s="65"/>
      <c r="P334" s="65"/>
      <c r="Q334" s="65"/>
      <c r="R334" s="65"/>
      <c r="S334" s="65"/>
      <c r="T334" s="65"/>
      <c r="U334" s="65"/>
      <c r="V334" s="65"/>
      <c r="W334" s="65"/>
      <c r="X334" s="65"/>
      <c r="Y334" s="65"/>
      <c r="Z334" s="66"/>
      <c r="AA334" s="66"/>
      <c r="AB334" s="66"/>
    </row>
    <row r="335" hidden="1" outlineLevel="1">
      <c r="A335" s="71">
        <v>46316.0</v>
      </c>
      <c r="B335" s="74">
        <v>0.1</v>
      </c>
      <c r="C335" s="75">
        <v>0.1</v>
      </c>
      <c r="D335" s="76">
        <v>0.05</v>
      </c>
      <c r="E335" s="77">
        <v>3.0</v>
      </c>
      <c r="F335" s="78">
        <v>1000.0</v>
      </c>
      <c r="G335" s="79">
        <f t="shared" si="80"/>
        <v>0</v>
      </c>
      <c r="H335" s="80">
        <f t="shared" si="81"/>
        <v>0</v>
      </c>
      <c r="I335" s="81">
        <f t="shared" si="82"/>
        <v>0</v>
      </c>
      <c r="J335" s="82"/>
      <c r="K335" s="83"/>
      <c r="L335" s="84">
        <f t="shared" si="83"/>
        <v>0</v>
      </c>
      <c r="M335" s="65"/>
      <c r="N335" s="65"/>
      <c r="O335" s="65"/>
      <c r="P335" s="65"/>
      <c r="Q335" s="65"/>
      <c r="R335" s="65"/>
      <c r="S335" s="65"/>
      <c r="T335" s="65"/>
      <c r="U335" s="65"/>
      <c r="V335" s="65"/>
      <c r="W335" s="65"/>
      <c r="X335" s="65"/>
      <c r="Y335" s="65"/>
      <c r="Z335" s="66"/>
      <c r="AA335" s="66"/>
      <c r="AB335" s="66"/>
    </row>
    <row r="336" hidden="1" outlineLevel="1">
      <c r="A336" s="71">
        <v>46317.0</v>
      </c>
      <c r="B336" s="74">
        <v>0.1</v>
      </c>
      <c r="C336" s="75">
        <v>0.1</v>
      </c>
      <c r="D336" s="76">
        <v>0.05</v>
      </c>
      <c r="E336" s="77">
        <v>3.0</v>
      </c>
      <c r="F336" s="78">
        <v>1000.0</v>
      </c>
      <c r="G336" s="79">
        <f t="shared" si="80"/>
        <v>0</v>
      </c>
      <c r="H336" s="80">
        <f t="shared" si="81"/>
        <v>0</v>
      </c>
      <c r="I336" s="81">
        <f t="shared" si="82"/>
        <v>0</v>
      </c>
      <c r="J336" s="82"/>
      <c r="K336" s="83"/>
      <c r="L336" s="84">
        <f t="shared" si="83"/>
        <v>0</v>
      </c>
      <c r="M336" s="65"/>
      <c r="N336" s="65"/>
      <c r="O336" s="65"/>
      <c r="P336" s="65"/>
      <c r="Q336" s="65"/>
      <c r="R336" s="65"/>
      <c r="S336" s="65"/>
      <c r="T336" s="65"/>
      <c r="U336" s="65"/>
      <c r="V336" s="65"/>
      <c r="W336" s="65"/>
      <c r="X336" s="65"/>
      <c r="Y336" s="65"/>
      <c r="Z336" s="66"/>
      <c r="AA336" s="66"/>
      <c r="AB336" s="66"/>
    </row>
    <row r="337" hidden="1" outlineLevel="1">
      <c r="A337" s="71">
        <v>46318.0</v>
      </c>
      <c r="B337" s="74">
        <v>0.1</v>
      </c>
      <c r="C337" s="75">
        <v>0.1</v>
      </c>
      <c r="D337" s="76">
        <v>0.05</v>
      </c>
      <c r="E337" s="77">
        <v>3.0</v>
      </c>
      <c r="F337" s="78">
        <v>1000.0</v>
      </c>
      <c r="G337" s="79">
        <f t="shared" si="80"/>
        <v>0</v>
      </c>
      <c r="H337" s="80">
        <f t="shared" si="81"/>
        <v>0</v>
      </c>
      <c r="I337" s="81">
        <f t="shared" si="82"/>
        <v>0</v>
      </c>
      <c r="J337" s="82"/>
      <c r="K337" s="83"/>
      <c r="L337" s="84">
        <f t="shared" si="83"/>
        <v>0</v>
      </c>
      <c r="M337" s="65"/>
      <c r="N337" s="65"/>
      <c r="O337" s="65"/>
      <c r="P337" s="65"/>
      <c r="Q337" s="65"/>
      <c r="R337" s="65"/>
      <c r="S337" s="65"/>
      <c r="T337" s="65"/>
      <c r="U337" s="65"/>
      <c r="V337" s="65"/>
      <c r="W337" s="65"/>
      <c r="X337" s="65"/>
      <c r="Y337" s="65"/>
      <c r="Z337" s="66"/>
      <c r="AA337" s="66"/>
      <c r="AB337" s="66"/>
    </row>
    <row r="338" hidden="1" outlineLevel="1">
      <c r="A338" s="71">
        <v>46319.0</v>
      </c>
      <c r="B338" s="74">
        <v>0.1</v>
      </c>
      <c r="C338" s="75">
        <v>0.1</v>
      </c>
      <c r="D338" s="76">
        <v>0.05</v>
      </c>
      <c r="E338" s="77">
        <v>3.0</v>
      </c>
      <c r="F338" s="78">
        <v>1000.0</v>
      </c>
      <c r="G338" s="79">
        <f t="shared" si="80"/>
        <v>0</v>
      </c>
      <c r="H338" s="80">
        <f t="shared" si="81"/>
        <v>0</v>
      </c>
      <c r="I338" s="81">
        <f t="shared" si="82"/>
        <v>0</v>
      </c>
      <c r="J338" s="82"/>
      <c r="K338" s="83"/>
      <c r="L338" s="84">
        <f t="shared" si="83"/>
        <v>0</v>
      </c>
      <c r="M338" s="65"/>
      <c r="N338" s="65"/>
      <c r="O338" s="65"/>
      <c r="P338" s="65"/>
      <c r="Q338" s="65"/>
      <c r="R338" s="65"/>
      <c r="S338" s="65"/>
      <c r="T338" s="65"/>
      <c r="U338" s="65"/>
      <c r="V338" s="65"/>
      <c r="W338" s="65"/>
      <c r="X338" s="65"/>
      <c r="Y338" s="65"/>
      <c r="Z338" s="66"/>
      <c r="AA338" s="66"/>
      <c r="AB338" s="66"/>
    </row>
    <row r="339" hidden="1" outlineLevel="1">
      <c r="A339" s="71">
        <v>46320.0</v>
      </c>
      <c r="B339" s="74">
        <v>0.1</v>
      </c>
      <c r="C339" s="75">
        <v>0.1</v>
      </c>
      <c r="D339" s="76">
        <v>0.05</v>
      </c>
      <c r="E339" s="77">
        <v>3.0</v>
      </c>
      <c r="F339" s="78">
        <v>1000.0</v>
      </c>
      <c r="G339" s="79">
        <f t="shared" si="80"/>
        <v>0</v>
      </c>
      <c r="H339" s="80">
        <f t="shared" si="81"/>
        <v>0</v>
      </c>
      <c r="I339" s="81">
        <f t="shared" si="82"/>
        <v>0</v>
      </c>
      <c r="J339" s="82"/>
      <c r="K339" s="83"/>
      <c r="L339" s="84">
        <f t="shared" si="83"/>
        <v>0</v>
      </c>
      <c r="M339" s="65"/>
      <c r="N339" s="65"/>
      <c r="O339" s="65"/>
      <c r="P339" s="65"/>
      <c r="Q339" s="65"/>
      <c r="R339" s="65"/>
      <c r="S339" s="65"/>
      <c r="T339" s="65"/>
      <c r="U339" s="65"/>
      <c r="V339" s="65"/>
      <c r="W339" s="65"/>
      <c r="X339" s="65"/>
      <c r="Y339" s="65"/>
      <c r="Z339" s="66"/>
      <c r="AA339" s="66"/>
      <c r="AB339" s="66"/>
    </row>
    <row r="340" hidden="1" outlineLevel="1">
      <c r="A340" s="71">
        <v>46321.0</v>
      </c>
      <c r="B340" s="74">
        <v>0.1</v>
      </c>
      <c r="C340" s="75">
        <v>0.1</v>
      </c>
      <c r="D340" s="76">
        <v>0.05</v>
      </c>
      <c r="E340" s="77">
        <v>3.0</v>
      </c>
      <c r="F340" s="78">
        <v>1000.0</v>
      </c>
      <c r="G340" s="79">
        <f t="shared" si="80"/>
        <v>0</v>
      </c>
      <c r="H340" s="80">
        <f t="shared" si="81"/>
        <v>0</v>
      </c>
      <c r="I340" s="81">
        <f t="shared" si="82"/>
        <v>0</v>
      </c>
      <c r="J340" s="82"/>
      <c r="K340" s="83"/>
      <c r="L340" s="84">
        <f t="shared" si="83"/>
        <v>0</v>
      </c>
      <c r="M340" s="65"/>
      <c r="N340" s="65"/>
      <c r="O340" s="65"/>
      <c r="P340" s="65"/>
      <c r="Q340" s="65"/>
      <c r="R340" s="65"/>
      <c r="S340" s="65"/>
      <c r="T340" s="65"/>
      <c r="U340" s="65"/>
      <c r="V340" s="65"/>
      <c r="W340" s="65"/>
      <c r="X340" s="65"/>
      <c r="Y340" s="65"/>
      <c r="Z340" s="66"/>
      <c r="AA340" s="66"/>
      <c r="AB340" s="66"/>
    </row>
    <row r="341" hidden="1" outlineLevel="1">
      <c r="A341" s="71">
        <v>46322.0</v>
      </c>
      <c r="B341" s="74">
        <v>0.1</v>
      </c>
      <c r="C341" s="75">
        <v>0.1</v>
      </c>
      <c r="D341" s="76">
        <v>0.05</v>
      </c>
      <c r="E341" s="77">
        <v>3.0</v>
      </c>
      <c r="F341" s="78">
        <v>1000.0</v>
      </c>
      <c r="G341" s="79">
        <f t="shared" si="80"/>
        <v>0</v>
      </c>
      <c r="H341" s="80">
        <f t="shared" si="81"/>
        <v>0</v>
      </c>
      <c r="I341" s="81">
        <f t="shared" si="82"/>
        <v>0</v>
      </c>
      <c r="J341" s="82"/>
      <c r="K341" s="83"/>
      <c r="L341" s="84">
        <f t="shared" si="83"/>
        <v>0</v>
      </c>
      <c r="M341" s="65"/>
      <c r="N341" s="65"/>
      <c r="O341" s="65"/>
      <c r="P341" s="65"/>
      <c r="Q341" s="65"/>
      <c r="R341" s="65"/>
      <c r="S341" s="65"/>
      <c r="T341" s="65"/>
      <c r="U341" s="65"/>
      <c r="V341" s="65"/>
      <c r="W341" s="65"/>
      <c r="X341" s="65"/>
      <c r="Y341" s="65"/>
      <c r="Z341" s="66"/>
      <c r="AA341" s="66"/>
      <c r="AB341" s="66"/>
    </row>
    <row r="342" hidden="1" outlineLevel="1">
      <c r="A342" s="71">
        <v>46323.0</v>
      </c>
      <c r="B342" s="74">
        <v>0.1</v>
      </c>
      <c r="C342" s="75">
        <v>0.1</v>
      </c>
      <c r="D342" s="76">
        <v>0.05</v>
      </c>
      <c r="E342" s="77">
        <v>3.0</v>
      </c>
      <c r="F342" s="78">
        <v>1000.0</v>
      </c>
      <c r="G342" s="79">
        <f t="shared" si="80"/>
        <v>0</v>
      </c>
      <c r="H342" s="80">
        <f t="shared" si="81"/>
        <v>0</v>
      </c>
      <c r="I342" s="81">
        <f t="shared" si="82"/>
        <v>0</v>
      </c>
      <c r="J342" s="82"/>
      <c r="K342" s="83"/>
      <c r="L342" s="84">
        <f t="shared" si="83"/>
        <v>0</v>
      </c>
      <c r="M342" s="65"/>
      <c r="N342" s="65"/>
      <c r="O342" s="65"/>
      <c r="P342" s="65"/>
      <c r="Q342" s="65"/>
      <c r="R342" s="65"/>
      <c r="S342" s="65"/>
      <c r="T342" s="65"/>
      <c r="U342" s="65"/>
      <c r="V342" s="65"/>
      <c r="W342" s="65"/>
      <c r="X342" s="65"/>
      <c r="Y342" s="65"/>
      <c r="Z342" s="66"/>
      <c r="AA342" s="66"/>
      <c r="AB342" s="66"/>
    </row>
    <row r="343" hidden="1" outlineLevel="1">
      <c r="A343" s="71">
        <v>46324.0</v>
      </c>
      <c r="B343" s="74">
        <v>0.1</v>
      </c>
      <c r="C343" s="75">
        <v>0.1</v>
      </c>
      <c r="D343" s="76">
        <v>0.05</v>
      </c>
      <c r="E343" s="77">
        <v>3.0</v>
      </c>
      <c r="F343" s="78">
        <v>1000.0</v>
      </c>
      <c r="G343" s="79">
        <f t="shared" si="80"/>
        <v>0</v>
      </c>
      <c r="H343" s="80">
        <f t="shared" si="81"/>
        <v>0</v>
      </c>
      <c r="I343" s="81">
        <f t="shared" si="82"/>
        <v>0</v>
      </c>
      <c r="J343" s="82"/>
      <c r="K343" s="83"/>
      <c r="L343" s="84">
        <f t="shared" si="83"/>
        <v>0</v>
      </c>
      <c r="M343" s="65"/>
      <c r="N343" s="65"/>
      <c r="O343" s="65"/>
      <c r="P343" s="65"/>
      <c r="Q343" s="65"/>
      <c r="R343" s="65"/>
      <c r="S343" s="65"/>
      <c r="T343" s="65"/>
      <c r="U343" s="65"/>
      <c r="V343" s="65"/>
      <c r="W343" s="65"/>
      <c r="X343" s="65"/>
      <c r="Y343" s="65"/>
      <c r="Z343" s="66"/>
      <c r="AA343" s="66"/>
      <c r="AB343" s="66"/>
    </row>
    <row r="344" hidden="1" outlineLevel="1">
      <c r="A344" s="71">
        <v>46325.0</v>
      </c>
      <c r="B344" s="74">
        <v>0.1</v>
      </c>
      <c r="C344" s="75">
        <v>0.1</v>
      </c>
      <c r="D344" s="76">
        <v>0.05</v>
      </c>
      <c r="E344" s="77">
        <v>3.0</v>
      </c>
      <c r="F344" s="78">
        <v>1000.0</v>
      </c>
      <c r="G344" s="79">
        <f t="shared" si="80"/>
        <v>0</v>
      </c>
      <c r="H344" s="80">
        <f t="shared" si="81"/>
        <v>0</v>
      </c>
      <c r="I344" s="81">
        <f t="shared" si="82"/>
        <v>0</v>
      </c>
      <c r="J344" s="82"/>
      <c r="K344" s="83"/>
      <c r="L344" s="84">
        <f t="shared" si="83"/>
        <v>0</v>
      </c>
      <c r="M344" s="65"/>
      <c r="N344" s="65"/>
      <c r="O344" s="65"/>
      <c r="P344" s="65"/>
      <c r="Q344" s="65"/>
      <c r="R344" s="65"/>
      <c r="S344" s="65"/>
      <c r="T344" s="65"/>
      <c r="U344" s="65"/>
      <c r="V344" s="65"/>
      <c r="W344" s="65"/>
      <c r="X344" s="65"/>
      <c r="Y344" s="65"/>
      <c r="Z344" s="66"/>
      <c r="AA344" s="66"/>
      <c r="AB344" s="66"/>
    </row>
    <row r="345" hidden="1" outlineLevel="1">
      <c r="A345" s="71">
        <v>46326.0</v>
      </c>
      <c r="B345" s="74">
        <v>0.1</v>
      </c>
      <c r="C345" s="75">
        <v>0.1</v>
      </c>
      <c r="D345" s="76">
        <v>0.05</v>
      </c>
      <c r="E345" s="77">
        <v>3.0</v>
      </c>
      <c r="F345" s="78">
        <v>1000.0</v>
      </c>
      <c r="G345" s="79">
        <f t="shared" si="80"/>
        <v>0</v>
      </c>
      <c r="H345" s="80">
        <f t="shared" si="81"/>
        <v>0</v>
      </c>
      <c r="I345" s="81">
        <f t="shared" si="82"/>
        <v>0</v>
      </c>
      <c r="J345" s="82"/>
      <c r="K345" s="83"/>
      <c r="L345" s="84">
        <f t="shared" si="83"/>
        <v>0</v>
      </c>
      <c r="M345" s="65"/>
      <c r="N345" s="65"/>
      <c r="O345" s="65"/>
      <c r="P345" s="65"/>
      <c r="Q345" s="65"/>
      <c r="R345" s="65"/>
      <c r="S345" s="65"/>
      <c r="T345" s="65"/>
      <c r="U345" s="65"/>
      <c r="V345" s="65"/>
      <c r="W345" s="65"/>
      <c r="X345" s="65"/>
      <c r="Y345" s="65"/>
      <c r="Z345" s="66"/>
      <c r="AA345" s="66"/>
      <c r="AB345" s="66"/>
    </row>
    <row r="346" hidden="1" outlineLevel="1">
      <c r="A346" s="85" t="s">
        <v>41</v>
      </c>
      <c r="C346" s="86">
        <f>SUM(C315:C345)</f>
        <v>3.1</v>
      </c>
      <c r="D346" s="87"/>
      <c r="E346" s="87"/>
      <c r="F346" s="87"/>
      <c r="G346" s="87"/>
      <c r="H346" s="87"/>
      <c r="I346" s="88">
        <f t="shared" ref="I346:K346" si="84">SUM(I315:I345)</f>
        <v>0</v>
      </c>
      <c r="J346" s="89">
        <f t="shared" si="84"/>
        <v>0</v>
      </c>
      <c r="K346" s="87">
        <f t="shared" si="84"/>
        <v>0</v>
      </c>
      <c r="L346" s="89">
        <f>L345</f>
        <v>0</v>
      </c>
      <c r="M346" s="65"/>
      <c r="N346" s="65"/>
      <c r="O346" s="65"/>
      <c r="P346" s="65"/>
      <c r="Q346" s="65"/>
      <c r="R346" s="65"/>
      <c r="S346" s="65"/>
      <c r="T346" s="65"/>
      <c r="U346" s="65"/>
      <c r="V346" s="65"/>
      <c r="W346" s="65"/>
      <c r="X346" s="65"/>
      <c r="Y346" s="65"/>
      <c r="Z346" s="66"/>
      <c r="AA346" s="66"/>
      <c r="AB346" s="66"/>
    </row>
    <row r="347">
      <c r="A347" s="95"/>
      <c r="B347" s="92"/>
      <c r="C347" s="92"/>
      <c r="D347" s="92"/>
      <c r="E347" s="92"/>
      <c r="F347" s="92"/>
      <c r="G347" s="92"/>
      <c r="H347" s="92"/>
      <c r="I347" s="92"/>
      <c r="J347" s="92"/>
      <c r="K347" s="94">
        <f>SUM(K315:K345)</f>
        <v>0</v>
      </c>
      <c r="L347" s="92"/>
      <c r="M347" s="65"/>
      <c r="N347" s="65"/>
      <c r="O347" s="65"/>
      <c r="P347" s="65"/>
      <c r="Q347" s="65"/>
      <c r="R347" s="65"/>
      <c r="S347" s="65"/>
      <c r="T347" s="65"/>
      <c r="U347" s="65"/>
      <c r="V347" s="65"/>
      <c r="W347" s="65"/>
      <c r="X347" s="65"/>
      <c r="Y347" s="65"/>
      <c r="Z347" s="66"/>
      <c r="AA347" s="66"/>
      <c r="AB347" s="66"/>
    </row>
    <row r="348" collapsed="1">
      <c r="A348" s="57" t="s">
        <v>52</v>
      </c>
      <c r="M348" s="65"/>
      <c r="N348" s="65"/>
      <c r="O348" s="65"/>
      <c r="P348" s="65"/>
      <c r="Q348" s="65"/>
      <c r="R348" s="65"/>
      <c r="S348" s="65"/>
      <c r="T348" s="65"/>
      <c r="U348" s="65"/>
      <c r="V348" s="65"/>
      <c r="W348" s="65"/>
      <c r="X348" s="65"/>
      <c r="Y348" s="65"/>
      <c r="Z348" s="66"/>
      <c r="AA348" s="66"/>
      <c r="AB348" s="66"/>
    </row>
    <row r="349" hidden="1" outlineLevel="1">
      <c r="A349" s="71" t="s">
        <v>29</v>
      </c>
      <c r="B349" s="57" t="s">
        <v>30</v>
      </c>
      <c r="C349" s="57" t="s">
        <v>31</v>
      </c>
      <c r="D349" s="72" t="s">
        <v>32</v>
      </c>
      <c r="E349" s="72" t="s">
        <v>33</v>
      </c>
      <c r="F349" s="72" t="s">
        <v>34</v>
      </c>
      <c r="G349" s="73" t="s">
        <v>35</v>
      </c>
      <c r="H349" s="72" t="s">
        <v>36</v>
      </c>
      <c r="I349" s="57" t="s">
        <v>37</v>
      </c>
      <c r="J349" s="74" t="s">
        <v>38</v>
      </c>
      <c r="K349" s="57" t="s">
        <v>39</v>
      </c>
      <c r="L349" s="57" t="s">
        <v>40</v>
      </c>
      <c r="M349" s="65"/>
      <c r="N349" s="65"/>
      <c r="O349" s="65"/>
      <c r="P349" s="65"/>
      <c r="Q349" s="65"/>
      <c r="R349" s="65"/>
      <c r="S349" s="65"/>
      <c r="T349" s="65"/>
      <c r="U349" s="65"/>
      <c r="V349" s="65"/>
      <c r="W349" s="65"/>
      <c r="X349" s="65"/>
      <c r="Y349" s="65"/>
      <c r="Z349" s="66"/>
      <c r="AA349" s="66"/>
      <c r="AB349" s="66"/>
    </row>
    <row r="350" hidden="1" outlineLevel="1">
      <c r="A350" s="71">
        <v>46327.0</v>
      </c>
      <c r="B350" s="74">
        <v>0.1</v>
      </c>
      <c r="C350" s="75">
        <v>0.1</v>
      </c>
      <c r="D350" s="76">
        <v>0.05</v>
      </c>
      <c r="E350" s="77">
        <v>3.0</v>
      </c>
      <c r="F350" s="78">
        <v>1000.0</v>
      </c>
      <c r="G350" s="79">
        <f>L346*C350</f>
        <v>0</v>
      </c>
      <c r="H350" s="80">
        <f>L346*D350</f>
        <v>0</v>
      </c>
      <c r="I350" s="81">
        <f>(J350/L346)*100</f>
        <v>0</v>
      </c>
      <c r="J350" s="82"/>
      <c r="K350" s="83"/>
      <c r="L350" s="84">
        <f>(L346+J350)-K350</f>
        <v>0</v>
      </c>
      <c r="M350" s="65"/>
      <c r="N350" s="65"/>
      <c r="O350" s="65"/>
      <c r="P350" s="65"/>
      <c r="Q350" s="65"/>
      <c r="R350" s="65"/>
      <c r="S350" s="65"/>
      <c r="T350" s="65"/>
      <c r="U350" s="65"/>
      <c r="V350" s="65"/>
      <c r="W350" s="65"/>
      <c r="X350" s="65"/>
      <c r="Y350" s="65"/>
      <c r="Z350" s="66"/>
      <c r="AA350" s="66"/>
      <c r="AB350" s="66"/>
    </row>
    <row r="351" hidden="1" outlineLevel="1">
      <c r="A351" s="71">
        <v>46328.0</v>
      </c>
      <c r="B351" s="74">
        <v>0.1</v>
      </c>
      <c r="C351" s="75">
        <v>0.1</v>
      </c>
      <c r="D351" s="76">
        <v>0.05</v>
      </c>
      <c r="E351" s="77">
        <v>3.0</v>
      </c>
      <c r="F351" s="78">
        <v>1000.0</v>
      </c>
      <c r="G351" s="79">
        <f t="shared" ref="G351:G379" si="85">L350*C351</f>
        <v>0</v>
      </c>
      <c r="H351" s="80">
        <f t="shared" ref="H351:H379" si="86">L350*D351</f>
        <v>0</v>
      </c>
      <c r="I351" s="81">
        <f t="shared" ref="I351:I379" si="87">(J351/L350)*100</f>
        <v>0</v>
      </c>
      <c r="J351" s="82"/>
      <c r="K351" s="83"/>
      <c r="L351" s="84">
        <f t="shared" ref="L351:L379" si="88">(L350+J351)-K351</f>
        <v>0</v>
      </c>
      <c r="M351" s="65"/>
      <c r="N351" s="65"/>
      <c r="O351" s="65"/>
      <c r="P351" s="65"/>
      <c r="Q351" s="65"/>
      <c r="R351" s="65"/>
      <c r="S351" s="65"/>
      <c r="T351" s="65"/>
      <c r="U351" s="65"/>
      <c r="V351" s="65"/>
      <c r="W351" s="65"/>
      <c r="X351" s="65"/>
      <c r="Y351" s="65"/>
      <c r="Z351" s="66"/>
      <c r="AA351" s="66"/>
      <c r="AB351" s="66"/>
    </row>
    <row r="352" hidden="1" outlineLevel="1">
      <c r="A352" s="71">
        <v>46329.0</v>
      </c>
      <c r="B352" s="74">
        <v>0.1</v>
      </c>
      <c r="C352" s="75">
        <v>0.1</v>
      </c>
      <c r="D352" s="76">
        <v>0.05</v>
      </c>
      <c r="E352" s="77">
        <v>3.0</v>
      </c>
      <c r="F352" s="78">
        <v>1000.0</v>
      </c>
      <c r="G352" s="79">
        <f t="shared" si="85"/>
        <v>0</v>
      </c>
      <c r="H352" s="80">
        <f t="shared" si="86"/>
        <v>0</v>
      </c>
      <c r="I352" s="81">
        <f t="shared" si="87"/>
        <v>0</v>
      </c>
      <c r="J352" s="82"/>
      <c r="K352" s="83"/>
      <c r="L352" s="84">
        <f t="shared" si="88"/>
        <v>0</v>
      </c>
      <c r="M352" s="65"/>
      <c r="N352" s="65"/>
      <c r="O352" s="65"/>
      <c r="P352" s="65"/>
      <c r="Q352" s="65"/>
      <c r="R352" s="65"/>
      <c r="S352" s="65"/>
      <c r="T352" s="65"/>
      <c r="U352" s="65"/>
      <c r="V352" s="65"/>
      <c r="W352" s="65"/>
      <c r="X352" s="65"/>
      <c r="Y352" s="65"/>
      <c r="Z352" s="66"/>
      <c r="AA352" s="66"/>
      <c r="AB352" s="66"/>
    </row>
    <row r="353" hidden="1" outlineLevel="1">
      <c r="A353" s="71">
        <v>46330.0</v>
      </c>
      <c r="B353" s="74">
        <v>0.1</v>
      </c>
      <c r="C353" s="75">
        <v>0.1</v>
      </c>
      <c r="D353" s="76">
        <v>0.05</v>
      </c>
      <c r="E353" s="77">
        <v>3.0</v>
      </c>
      <c r="F353" s="78">
        <v>1000.0</v>
      </c>
      <c r="G353" s="79">
        <f t="shared" si="85"/>
        <v>0</v>
      </c>
      <c r="H353" s="80">
        <f t="shared" si="86"/>
        <v>0</v>
      </c>
      <c r="I353" s="81">
        <f t="shared" si="87"/>
        <v>0</v>
      </c>
      <c r="J353" s="82"/>
      <c r="K353" s="83"/>
      <c r="L353" s="84">
        <f t="shared" si="88"/>
        <v>0</v>
      </c>
      <c r="M353" s="65"/>
      <c r="N353" s="65"/>
      <c r="O353" s="65"/>
      <c r="P353" s="65"/>
      <c r="Q353" s="65"/>
      <c r="R353" s="65"/>
      <c r="S353" s="65"/>
      <c r="T353" s="65"/>
      <c r="U353" s="65"/>
      <c r="V353" s="65"/>
      <c r="W353" s="65"/>
      <c r="X353" s="65"/>
      <c r="Y353" s="65"/>
      <c r="Z353" s="66"/>
      <c r="AA353" s="66"/>
      <c r="AB353" s="66"/>
    </row>
    <row r="354" hidden="1" outlineLevel="1">
      <c r="A354" s="71">
        <v>46331.0</v>
      </c>
      <c r="B354" s="74">
        <v>0.1</v>
      </c>
      <c r="C354" s="75">
        <v>0.1</v>
      </c>
      <c r="D354" s="76">
        <v>0.05</v>
      </c>
      <c r="E354" s="77">
        <v>3.0</v>
      </c>
      <c r="F354" s="78">
        <v>1000.0</v>
      </c>
      <c r="G354" s="79">
        <f t="shared" si="85"/>
        <v>0</v>
      </c>
      <c r="H354" s="80">
        <f t="shared" si="86"/>
        <v>0</v>
      </c>
      <c r="I354" s="81">
        <f t="shared" si="87"/>
        <v>0</v>
      </c>
      <c r="J354" s="82"/>
      <c r="K354" s="83"/>
      <c r="L354" s="84">
        <f t="shared" si="88"/>
        <v>0</v>
      </c>
      <c r="M354" s="65"/>
      <c r="N354" s="65"/>
      <c r="O354" s="65"/>
      <c r="P354" s="65"/>
      <c r="Q354" s="65"/>
      <c r="R354" s="65"/>
      <c r="S354" s="65"/>
      <c r="T354" s="65"/>
      <c r="U354" s="65"/>
      <c r="V354" s="65"/>
      <c r="W354" s="65"/>
      <c r="X354" s="65"/>
      <c r="Y354" s="65"/>
      <c r="Z354" s="66"/>
      <c r="AA354" s="66"/>
      <c r="AB354" s="66"/>
    </row>
    <row r="355" hidden="1" outlineLevel="1">
      <c r="A355" s="71">
        <v>46332.0</v>
      </c>
      <c r="B355" s="74">
        <v>0.1</v>
      </c>
      <c r="C355" s="75">
        <v>0.1</v>
      </c>
      <c r="D355" s="76">
        <v>0.05</v>
      </c>
      <c r="E355" s="77">
        <v>3.0</v>
      </c>
      <c r="F355" s="78">
        <v>1000.0</v>
      </c>
      <c r="G355" s="79">
        <f t="shared" si="85"/>
        <v>0</v>
      </c>
      <c r="H355" s="80">
        <f t="shared" si="86"/>
        <v>0</v>
      </c>
      <c r="I355" s="81">
        <f t="shared" si="87"/>
        <v>0</v>
      </c>
      <c r="J355" s="82"/>
      <c r="K355" s="83"/>
      <c r="L355" s="84">
        <f t="shared" si="88"/>
        <v>0</v>
      </c>
      <c r="M355" s="65"/>
      <c r="N355" s="65"/>
      <c r="O355" s="65"/>
      <c r="P355" s="65"/>
      <c r="Q355" s="65"/>
      <c r="R355" s="65"/>
      <c r="S355" s="65"/>
      <c r="T355" s="65"/>
      <c r="U355" s="65"/>
      <c r="V355" s="65"/>
      <c r="W355" s="65"/>
      <c r="X355" s="65"/>
      <c r="Y355" s="65"/>
      <c r="Z355" s="66"/>
      <c r="AA355" s="66"/>
      <c r="AB355" s="66"/>
    </row>
    <row r="356" hidden="1" outlineLevel="1">
      <c r="A356" s="71">
        <v>46333.0</v>
      </c>
      <c r="B356" s="74">
        <v>0.1</v>
      </c>
      <c r="C356" s="75">
        <v>0.1</v>
      </c>
      <c r="D356" s="76">
        <v>0.05</v>
      </c>
      <c r="E356" s="77">
        <v>3.0</v>
      </c>
      <c r="F356" s="78">
        <v>1000.0</v>
      </c>
      <c r="G356" s="79">
        <f t="shared" si="85"/>
        <v>0</v>
      </c>
      <c r="H356" s="80">
        <f t="shared" si="86"/>
        <v>0</v>
      </c>
      <c r="I356" s="81">
        <f t="shared" si="87"/>
        <v>0</v>
      </c>
      <c r="J356" s="82"/>
      <c r="K356" s="83"/>
      <c r="L356" s="84">
        <f t="shared" si="88"/>
        <v>0</v>
      </c>
      <c r="M356" s="65"/>
      <c r="N356" s="65"/>
      <c r="O356" s="65"/>
      <c r="P356" s="65"/>
      <c r="Q356" s="65"/>
      <c r="R356" s="65"/>
      <c r="S356" s="65"/>
      <c r="T356" s="65"/>
      <c r="U356" s="65"/>
      <c r="V356" s="65"/>
      <c r="W356" s="65"/>
      <c r="X356" s="65"/>
      <c r="Y356" s="65"/>
      <c r="Z356" s="66"/>
      <c r="AA356" s="66"/>
      <c r="AB356" s="66"/>
    </row>
    <row r="357" hidden="1" outlineLevel="1">
      <c r="A357" s="71">
        <v>46334.0</v>
      </c>
      <c r="B357" s="74">
        <v>0.1</v>
      </c>
      <c r="C357" s="75">
        <v>0.1</v>
      </c>
      <c r="D357" s="76">
        <v>0.05</v>
      </c>
      <c r="E357" s="77">
        <v>3.0</v>
      </c>
      <c r="F357" s="78">
        <v>1000.0</v>
      </c>
      <c r="G357" s="79">
        <f t="shared" si="85"/>
        <v>0</v>
      </c>
      <c r="H357" s="80">
        <f t="shared" si="86"/>
        <v>0</v>
      </c>
      <c r="I357" s="81">
        <f t="shared" si="87"/>
        <v>0</v>
      </c>
      <c r="J357" s="82"/>
      <c r="K357" s="83"/>
      <c r="L357" s="84">
        <f t="shared" si="88"/>
        <v>0</v>
      </c>
      <c r="M357" s="65"/>
      <c r="N357" s="65"/>
      <c r="O357" s="65"/>
      <c r="P357" s="65"/>
      <c r="Q357" s="65"/>
      <c r="R357" s="65"/>
      <c r="S357" s="65"/>
      <c r="T357" s="65"/>
      <c r="U357" s="65"/>
      <c r="V357" s="65"/>
      <c r="W357" s="65"/>
      <c r="X357" s="65"/>
      <c r="Y357" s="65"/>
      <c r="Z357" s="66"/>
      <c r="AA357" s="66"/>
      <c r="AB357" s="66"/>
    </row>
    <row r="358" hidden="1" outlineLevel="1">
      <c r="A358" s="71">
        <v>46335.0</v>
      </c>
      <c r="B358" s="74">
        <v>0.1</v>
      </c>
      <c r="C358" s="75">
        <v>0.1</v>
      </c>
      <c r="D358" s="76">
        <v>0.05</v>
      </c>
      <c r="E358" s="77">
        <v>3.0</v>
      </c>
      <c r="F358" s="78">
        <v>1000.0</v>
      </c>
      <c r="G358" s="79">
        <f t="shared" si="85"/>
        <v>0</v>
      </c>
      <c r="H358" s="80">
        <f t="shared" si="86"/>
        <v>0</v>
      </c>
      <c r="I358" s="81">
        <f t="shared" si="87"/>
        <v>0</v>
      </c>
      <c r="J358" s="82"/>
      <c r="K358" s="83"/>
      <c r="L358" s="84">
        <f t="shared" si="88"/>
        <v>0</v>
      </c>
      <c r="M358" s="65"/>
      <c r="N358" s="65"/>
      <c r="O358" s="65"/>
      <c r="P358" s="65"/>
      <c r="Q358" s="65"/>
      <c r="R358" s="65"/>
      <c r="S358" s="65"/>
      <c r="T358" s="65"/>
      <c r="U358" s="65"/>
      <c r="V358" s="65"/>
      <c r="W358" s="65"/>
      <c r="X358" s="65"/>
      <c r="Y358" s="65"/>
      <c r="Z358" s="66"/>
      <c r="AA358" s="66"/>
      <c r="AB358" s="66"/>
    </row>
    <row r="359" hidden="1" outlineLevel="1">
      <c r="A359" s="71">
        <v>46336.0</v>
      </c>
      <c r="B359" s="74">
        <v>0.1</v>
      </c>
      <c r="C359" s="75">
        <v>0.1</v>
      </c>
      <c r="D359" s="76">
        <v>0.05</v>
      </c>
      <c r="E359" s="77">
        <v>3.0</v>
      </c>
      <c r="F359" s="78">
        <v>1000.0</v>
      </c>
      <c r="G359" s="79">
        <f t="shared" si="85"/>
        <v>0</v>
      </c>
      <c r="H359" s="80">
        <f t="shared" si="86"/>
        <v>0</v>
      </c>
      <c r="I359" s="81">
        <f t="shared" si="87"/>
        <v>0</v>
      </c>
      <c r="J359" s="82"/>
      <c r="K359" s="83"/>
      <c r="L359" s="84">
        <f t="shared" si="88"/>
        <v>0</v>
      </c>
      <c r="M359" s="65"/>
      <c r="N359" s="65"/>
      <c r="O359" s="65"/>
      <c r="P359" s="65"/>
      <c r="Q359" s="65"/>
      <c r="R359" s="65"/>
      <c r="S359" s="65"/>
      <c r="T359" s="65"/>
      <c r="U359" s="65"/>
      <c r="V359" s="65"/>
      <c r="W359" s="65"/>
      <c r="X359" s="65"/>
      <c r="Y359" s="65"/>
      <c r="Z359" s="66"/>
      <c r="AA359" s="66"/>
      <c r="AB359" s="66"/>
    </row>
    <row r="360" hidden="1" outlineLevel="1">
      <c r="A360" s="71">
        <v>46337.0</v>
      </c>
      <c r="B360" s="74">
        <v>0.1</v>
      </c>
      <c r="C360" s="75">
        <v>0.1</v>
      </c>
      <c r="D360" s="76">
        <v>0.05</v>
      </c>
      <c r="E360" s="77">
        <v>3.0</v>
      </c>
      <c r="F360" s="78">
        <v>1000.0</v>
      </c>
      <c r="G360" s="79">
        <f t="shared" si="85"/>
        <v>0</v>
      </c>
      <c r="H360" s="80">
        <f t="shared" si="86"/>
        <v>0</v>
      </c>
      <c r="I360" s="81">
        <f t="shared" si="87"/>
        <v>0</v>
      </c>
      <c r="J360" s="82"/>
      <c r="K360" s="83"/>
      <c r="L360" s="84">
        <f t="shared" si="88"/>
        <v>0</v>
      </c>
      <c r="M360" s="65"/>
      <c r="N360" s="65"/>
      <c r="O360" s="65"/>
      <c r="P360" s="65"/>
      <c r="Q360" s="65"/>
      <c r="R360" s="65"/>
      <c r="S360" s="65"/>
      <c r="T360" s="65"/>
      <c r="U360" s="65"/>
      <c r="V360" s="65"/>
      <c r="W360" s="65"/>
      <c r="X360" s="65"/>
      <c r="Y360" s="65"/>
      <c r="Z360" s="66"/>
      <c r="AA360" s="66"/>
      <c r="AB360" s="66"/>
    </row>
    <row r="361" hidden="1" outlineLevel="1">
      <c r="A361" s="71">
        <v>46338.0</v>
      </c>
      <c r="B361" s="74">
        <v>0.1</v>
      </c>
      <c r="C361" s="75">
        <v>0.1</v>
      </c>
      <c r="D361" s="76">
        <v>0.05</v>
      </c>
      <c r="E361" s="77">
        <v>3.0</v>
      </c>
      <c r="F361" s="78">
        <v>1000.0</v>
      </c>
      <c r="G361" s="79">
        <f t="shared" si="85"/>
        <v>0</v>
      </c>
      <c r="H361" s="80">
        <f t="shared" si="86"/>
        <v>0</v>
      </c>
      <c r="I361" s="81">
        <f t="shared" si="87"/>
        <v>0</v>
      </c>
      <c r="J361" s="82"/>
      <c r="K361" s="83"/>
      <c r="L361" s="84">
        <f t="shared" si="88"/>
        <v>0</v>
      </c>
      <c r="M361" s="65"/>
      <c r="N361" s="65"/>
      <c r="O361" s="65"/>
      <c r="P361" s="65"/>
      <c r="Q361" s="65"/>
      <c r="R361" s="65"/>
      <c r="S361" s="65"/>
      <c r="T361" s="65"/>
      <c r="U361" s="65"/>
      <c r="V361" s="65"/>
      <c r="W361" s="65"/>
      <c r="X361" s="65"/>
      <c r="Y361" s="65"/>
      <c r="Z361" s="66"/>
      <c r="AA361" s="66"/>
      <c r="AB361" s="66"/>
    </row>
    <row r="362" hidden="1" outlineLevel="1">
      <c r="A362" s="71">
        <v>46339.0</v>
      </c>
      <c r="B362" s="74">
        <v>0.1</v>
      </c>
      <c r="C362" s="75">
        <v>0.1</v>
      </c>
      <c r="D362" s="76">
        <v>0.05</v>
      </c>
      <c r="E362" s="77">
        <v>3.0</v>
      </c>
      <c r="F362" s="78">
        <v>1000.0</v>
      </c>
      <c r="G362" s="79">
        <f t="shared" si="85"/>
        <v>0</v>
      </c>
      <c r="H362" s="80">
        <f t="shared" si="86"/>
        <v>0</v>
      </c>
      <c r="I362" s="81">
        <f t="shared" si="87"/>
        <v>0</v>
      </c>
      <c r="J362" s="82"/>
      <c r="K362" s="83"/>
      <c r="L362" s="84">
        <f t="shared" si="88"/>
        <v>0</v>
      </c>
      <c r="M362" s="65"/>
      <c r="N362" s="65"/>
      <c r="O362" s="65"/>
      <c r="P362" s="65"/>
      <c r="Q362" s="65"/>
      <c r="R362" s="65"/>
      <c r="S362" s="65"/>
      <c r="T362" s="65"/>
      <c r="U362" s="65"/>
      <c r="V362" s="65"/>
      <c r="W362" s="65"/>
      <c r="X362" s="65"/>
      <c r="Y362" s="65"/>
      <c r="Z362" s="66"/>
      <c r="AA362" s="66"/>
      <c r="AB362" s="66"/>
    </row>
    <row r="363" hidden="1" outlineLevel="1">
      <c r="A363" s="71">
        <v>46340.0</v>
      </c>
      <c r="B363" s="74">
        <v>0.1</v>
      </c>
      <c r="C363" s="75">
        <v>0.1</v>
      </c>
      <c r="D363" s="76">
        <v>0.05</v>
      </c>
      <c r="E363" s="77">
        <v>3.0</v>
      </c>
      <c r="F363" s="78">
        <v>1000.0</v>
      </c>
      <c r="G363" s="79">
        <f t="shared" si="85"/>
        <v>0</v>
      </c>
      <c r="H363" s="80">
        <f t="shared" si="86"/>
        <v>0</v>
      </c>
      <c r="I363" s="81">
        <f t="shared" si="87"/>
        <v>0</v>
      </c>
      <c r="J363" s="82"/>
      <c r="K363" s="83"/>
      <c r="L363" s="84">
        <f t="shared" si="88"/>
        <v>0</v>
      </c>
      <c r="M363" s="65"/>
      <c r="N363" s="65"/>
      <c r="O363" s="65"/>
      <c r="P363" s="65"/>
      <c r="Q363" s="65"/>
      <c r="R363" s="65"/>
      <c r="S363" s="65"/>
      <c r="T363" s="65"/>
      <c r="U363" s="65"/>
      <c r="V363" s="65"/>
      <c r="W363" s="65"/>
      <c r="X363" s="65"/>
      <c r="Y363" s="65"/>
      <c r="Z363" s="66"/>
      <c r="AA363" s="66"/>
      <c r="AB363" s="66"/>
    </row>
    <row r="364" hidden="1" outlineLevel="1">
      <c r="A364" s="71">
        <v>46341.0</v>
      </c>
      <c r="B364" s="74">
        <v>0.1</v>
      </c>
      <c r="C364" s="75">
        <v>0.1</v>
      </c>
      <c r="D364" s="76">
        <v>0.05</v>
      </c>
      <c r="E364" s="77">
        <v>3.0</v>
      </c>
      <c r="F364" s="78">
        <v>1000.0</v>
      </c>
      <c r="G364" s="79">
        <f t="shared" si="85"/>
        <v>0</v>
      </c>
      <c r="H364" s="80">
        <f t="shared" si="86"/>
        <v>0</v>
      </c>
      <c r="I364" s="81">
        <f t="shared" si="87"/>
        <v>0</v>
      </c>
      <c r="J364" s="82"/>
      <c r="K364" s="83"/>
      <c r="L364" s="84">
        <f t="shared" si="88"/>
        <v>0</v>
      </c>
      <c r="M364" s="65"/>
      <c r="N364" s="65"/>
      <c r="O364" s="65"/>
      <c r="P364" s="65"/>
      <c r="Q364" s="65"/>
      <c r="R364" s="65"/>
      <c r="S364" s="65"/>
      <c r="T364" s="65"/>
      <c r="U364" s="65"/>
      <c r="V364" s="65"/>
      <c r="W364" s="65"/>
      <c r="X364" s="65"/>
      <c r="Y364" s="65"/>
      <c r="Z364" s="66"/>
      <c r="AA364" s="66"/>
      <c r="AB364" s="66"/>
    </row>
    <row r="365" hidden="1" outlineLevel="1">
      <c r="A365" s="71">
        <v>46342.0</v>
      </c>
      <c r="B365" s="74">
        <v>0.1</v>
      </c>
      <c r="C365" s="75">
        <v>0.1</v>
      </c>
      <c r="D365" s="76">
        <v>0.05</v>
      </c>
      <c r="E365" s="77">
        <v>3.0</v>
      </c>
      <c r="F365" s="78">
        <v>1000.0</v>
      </c>
      <c r="G365" s="79">
        <f t="shared" si="85"/>
        <v>0</v>
      </c>
      <c r="H365" s="80">
        <f t="shared" si="86"/>
        <v>0</v>
      </c>
      <c r="I365" s="81">
        <f t="shared" si="87"/>
        <v>0</v>
      </c>
      <c r="J365" s="82"/>
      <c r="K365" s="83"/>
      <c r="L365" s="84">
        <f t="shared" si="88"/>
        <v>0</v>
      </c>
      <c r="M365" s="65"/>
      <c r="N365" s="65"/>
      <c r="O365" s="65"/>
      <c r="P365" s="65"/>
      <c r="Q365" s="65"/>
      <c r="R365" s="65"/>
      <c r="S365" s="65"/>
      <c r="T365" s="65"/>
      <c r="U365" s="65"/>
      <c r="V365" s="65"/>
      <c r="W365" s="65"/>
      <c r="X365" s="65"/>
      <c r="Y365" s="65"/>
      <c r="Z365" s="66"/>
      <c r="AA365" s="66"/>
      <c r="AB365" s="66"/>
    </row>
    <row r="366" hidden="1" outlineLevel="1">
      <c r="A366" s="71">
        <v>46343.0</v>
      </c>
      <c r="B366" s="74">
        <v>0.1</v>
      </c>
      <c r="C366" s="75">
        <v>0.1</v>
      </c>
      <c r="D366" s="76">
        <v>0.05</v>
      </c>
      <c r="E366" s="77">
        <v>3.0</v>
      </c>
      <c r="F366" s="78">
        <v>1000.0</v>
      </c>
      <c r="G366" s="79">
        <f t="shared" si="85"/>
        <v>0</v>
      </c>
      <c r="H366" s="80">
        <f t="shared" si="86"/>
        <v>0</v>
      </c>
      <c r="I366" s="81">
        <f t="shared" si="87"/>
        <v>0</v>
      </c>
      <c r="J366" s="82"/>
      <c r="K366" s="83"/>
      <c r="L366" s="84">
        <f t="shared" si="88"/>
        <v>0</v>
      </c>
      <c r="M366" s="65"/>
      <c r="N366" s="65"/>
      <c r="O366" s="65"/>
      <c r="P366" s="65"/>
      <c r="Q366" s="65"/>
      <c r="R366" s="65"/>
      <c r="S366" s="65"/>
      <c r="T366" s="65"/>
      <c r="U366" s="65"/>
      <c r="V366" s="65"/>
      <c r="W366" s="65"/>
      <c r="X366" s="65"/>
      <c r="Y366" s="65"/>
      <c r="Z366" s="66"/>
      <c r="AA366" s="66"/>
      <c r="AB366" s="66"/>
    </row>
    <row r="367" hidden="1" outlineLevel="1">
      <c r="A367" s="71">
        <v>46344.0</v>
      </c>
      <c r="B367" s="74">
        <v>0.1</v>
      </c>
      <c r="C367" s="75">
        <v>0.1</v>
      </c>
      <c r="D367" s="76">
        <v>0.05</v>
      </c>
      <c r="E367" s="77">
        <v>3.0</v>
      </c>
      <c r="F367" s="78">
        <v>1000.0</v>
      </c>
      <c r="G367" s="79">
        <f t="shared" si="85"/>
        <v>0</v>
      </c>
      <c r="H367" s="80">
        <f t="shared" si="86"/>
        <v>0</v>
      </c>
      <c r="I367" s="81">
        <f t="shared" si="87"/>
        <v>0</v>
      </c>
      <c r="J367" s="82"/>
      <c r="K367" s="83"/>
      <c r="L367" s="84">
        <f t="shared" si="88"/>
        <v>0</v>
      </c>
      <c r="M367" s="65"/>
      <c r="N367" s="65"/>
      <c r="O367" s="65"/>
      <c r="P367" s="65"/>
      <c r="Q367" s="65"/>
      <c r="R367" s="65"/>
      <c r="S367" s="65"/>
      <c r="T367" s="65"/>
      <c r="U367" s="65"/>
      <c r="V367" s="65"/>
      <c r="W367" s="65"/>
      <c r="X367" s="65"/>
      <c r="Y367" s="65"/>
      <c r="Z367" s="66"/>
      <c r="AA367" s="66"/>
      <c r="AB367" s="66"/>
    </row>
    <row r="368" hidden="1" outlineLevel="1">
      <c r="A368" s="71">
        <v>46345.0</v>
      </c>
      <c r="B368" s="74">
        <v>0.1</v>
      </c>
      <c r="C368" s="75">
        <v>0.1</v>
      </c>
      <c r="D368" s="76">
        <v>0.05</v>
      </c>
      <c r="E368" s="77">
        <v>3.0</v>
      </c>
      <c r="F368" s="78">
        <v>1000.0</v>
      </c>
      <c r="G368" s="79">
        <f t="shared" si="85"/>
        <v>0</v>
      </c>
      <c r="H368" s="80">
        <f t="shared" si="86"/>
        <v>0</v>
      </c>
      <c r="I368" s="81">
        <f t="shared" si="87"/>
        <v>0</v>
      </c>
      <c r="J368" s="82"/>
      <c r="K368" s="83"/>
      <c r="L368" s="84">
        <f t="shared" si="88"/>
        <v>0</v>
      </c>
      <c r="M368" s="65"/>
      <c r="N368" s="65"/>
      <c r="O368" s="65"/>
      <c r="P368" s="65"/>
      <c r="Q368" s="65"/>
      <c r="R368" s="65"/>
      <c r="S368" s="65"/>
      <c r="T368" s="65"/>
      <c r="U368" s="65"/>
      <c r="V368" s="65"/>
      <c r="W368" s="65"/>
      <c r="X368" s="65"/>
      <c r="Y368" s="65"/>
      <c r="Z368" s="66"/>
      <c r="AA368" s="66"/>
      <c r="AB368" s="66"/>
    </row>
    <row r="369" hidden="1" outlineLevel="1">
      <c r="A369" s="71">
        <v>46346.0</v>
      </c>
      <c r="B369" s="74">
        <v>0.1</v>
      </c>
      <c r="C369" s="75">
        <v>0.1</v>
      </c>
      <c r="D369" s="76">
        <v>0.05</v>
      </c>
      <c r="E369" s="77">
        <v>3.0</v>
      </c>
      <c r="F369" s="78">
        <v>1000.0</v>
      </c>
      <c r="G369" s="79">
        <f t="shared" si="85"/>
        <v>0</v>
      </c>
      <c r="H369" s="80">
        <f t="shared" si="86"/>
        <v>0</v>
      </c>
      <c r="I369" s="81">
        <f t="shared" si="87"/>
        <v>0</v>
      </c>
      <c r="J369" s="82"/>
      <c r="K369" s="83"/>
      <c r="L369" s="84">
        <f t="shared" si="88"/>
        <v>0</v>
      </c>
      <c r="M369" s="65"/>
      <c r="N369" s="65"/>
      <c r="O369" s="65"/>
      <c r="P369" s="65"/>
      <c r="Q369" s="65"/>
      <c r="R369" s="65"/>
      <c r="S369" s="65"/>
      <c r="T369" s="65"/>
      <c r="U369" s="65"/>
      <c r="V369" s="65"/>
      <c r="W369" s="65"/>
      <c r="X369" s="65"/>
      <c r="Y369" s="65"/>
      <c r="Z369" s="66"/>
      <c r="AA369" s="66"/>
      <c r="AB369" s="66"/>
    </row>
    <row r="370" hidden="1" outlineLevel="1">
      <c r="A370" s="71">
        <v>46347.0</v>
      </c>
      <c r="B370" s="74">
        <v>0.1</v>
      </c>
      <c r="C370" s="75">
        <v>0.1</v>
      </c>
      <c r="D370" s="76">
        <v>0.05</v>
      </c>
      <c r="E370" s="77">
        <v>3.0</v>
      </c>
      <c r="F370" s="78">
        <v>1000.0</v>
      </c>
      <c r="G370" s="79">
        <f t="shared" si="85"/>
        <v>0</v>
      </c>
      <c r="H370" s="80">
        <f t="shared" si="86"/>
        <v>0</v>
      </c>
      <c r="I370" s="81">
        <f t="shared" si="87"/>
        <v>0</v>
      </c>
      <c r="J370" s="82"/>
      <c r="K370" s="83"/>
      <c r="L370" s="84">
        <f t="shared" si="88"/>
        <v>0</v>
      </c>
      <c r="M370" s="65"/>
      <c r="N370" s="65"/>
      <c r="O370" s="65"/>
      <c r="P370" s="65"/>
      <c r="Q370" s="65"/>
      <c r="R370" s="65"/>
      <c r="S370" s="65"/>
      <c r="T370" s="65"/>
      <c r="U370" s="65"/>
      <c r="V370" s="65"/>
      <c r="W370" s="65"/>
      <c r="X370" s="65"/>
      <c r="Y370" s="65"/>
      <c r="Z370" s="66"/>
      <c r="AA370" s="66"/>
      <c r="AB370" s="66"/>
    </row>
    <row r="371" hidden="1" outlineLevel="1">
      <c r="A371" s="71">
        <v>46348.0</v>
      </c>
      <c r="B371" s="74">
        <v>0.1</v>
      </c>
      <c r="C371" s="75">
        <v>0.1</v>
      </c>
      <c r="D371" s="76">
        <v>0.05</v>
      </c>
      <c r="E371" s="77">
        <v>3.0</v>
      </c>
      <c r="F371" s="78">
        <v>1000.0</v>
      </c>
      <c r="G371" s="79">
        <f t="shared" si="85"/>
        <v>0</v>
      </c>
      <c r="H371" s="80">
        <f t="shared" si="86"/>
        <v>0</v>
      </c>
      <c r="I371" s="81">
        <f t="shared" si="87"/>
        <v>0</v>
      </c>
      <c r="J371" s="82"/>
      <c r="K371" s="83"/>
      <c r="L371" s="84">
        <f t="shared" si="88"/>
        <v>0</v>
      </c>
      <c r="M371" s="65"/>
      <c r="N371" s="65"/>
      <c r="O371" s="65"/>
      <c r="P371" s="65"/>
      <c r="Q371" s="65"/>
      <c r="R371" s="65"/>
      <c r="S371" s="65"/>
      <c r="T371" s="65"/>
      <c r="U371" s="65"/>
      <c r="V371" s="65"/>
      <c r="W371" s="65"/>
      <c r="X371" s="65"/>
      <c r="Y371" s="65"/>
      <c r="Z371" s="66"/>
      <c r="AA371" s="66"/>
      <c r="AB371" s="66"/>
    </row>
    <row r="372" hidden="1" outlineLevel="1">
      <c r="A372" s="71">
        <v>46349.0</v>
      </c>
      <c r="B372" s="74">
        <v>0.1</v>
      </c>
      <c r="C372" s="75">
        <v>0.1</v>
      </c>
      <c r="D372" s="76">
        <v>0.05</v>
      </c>
      <c r="E372" s="77">
        <v>3.0</v>
      </c>
      <c r="F372" s="78">
        <v>1000.0</v>
      </c>
      <c r="G372" s="79">
        <f t="shared" si="85"/>
        <v>0</v>
      </c>
      <c r="H372" s="80">
        <f t="shared" si="86"/>
        <v>0</v>
      </c>
      <c r="I372" s="81">
        <f t="shared" si="87"/>
        <v>0</v>
      </c>
      <c r="J372" s="82"/>
      <c r="K372" s="83"/>
      <c r="L372" s="84">
        <f t="shared" si="88"/>
        <v>0</v>
      </c>
      <c r="M372" s="65"/>
      <c r="N372" s="65"/>
      <c r="O372" s="65"/>
      <c r="P372" s="65"/>
      <c r="Q372" s="65"/>
      <c r="R372" s="65"/>
      <c r="S372" s="65"/>
      <c r="T372" s="65"/>
      <c r="U372" s="65"/>
      <c r="V372" s="65"/>
      <c r="W372" s="65"/>
      <c r="X372" s="65"/>
      <c r="Y372" s="65"/>
      <c r="Z372" s="66"/>
      <c r="AA372" s="66"/>
      <c r="AB372" s="66"/>
    </row>
    <row r="373" hidden="1" outlineLevel="1">
      <c r="A373" s="71">
        <v>46350.0</v>
      </c>
      <c r="B373" s="74">
        <v>0.1</v>
      </c>
      <c r="C373" s="75">
        <v>0.1</v>
      </c>
      <c r="D373" s="76">
        <v>0.05</v>
      </c>
      <c r="E373" s="77">
        <v>3.0</v>
      </c>
      <c r="F373" s="78">
        <v>1000.0</v>
      </c>
      <c r="G373" s="79">
        <f t="shared" si="85"/>
        <v>0</v>
      </c>
      <c r="H373" s="80">
        <f t="shared" si="86"/>
        <v>0</v>
      </c>
      <c r="I373" s="81">
        <f t="shared" si="87"/>
        <v>0</v>
      </c>
      <c r="J373" s="82"/>
      <c r="K373" s="83"/>
      <c r="L373" s="84">
        <f t="shared" si="88"/>
        <v>0</v>
      </c>
      <c r="M373" s="65"/>
      <c r="N373" s="65"/>
      <c r="O373" s="65"/>
      <c r="P373" s="65"/>
      <c r="Q373" s="65"/>
      <c r="R373" s="65"/>
      <c r="S373" s="65"/>
      <c r="T373" s="65"/>
      <c r="U373" s="65"/>
      <c r="V373" s="65"/>
      <c r="W373" s="65"/>
      <c r="X373" s="65"/>
      <c r="Y373" s="65"/>
      <c r="Z373" s="66"/>
      <c r="AA373" s="66"/>
      <c r="AB373" s="66"/>
    </row>
    <row r="374" hidden="1" outlineLevel="1">
      <c r="A374" s="71">
        <v>46351.0</v>
      </c>
      <c r="B374" s="74">
        <v>0.1</v>
      </c>
      <c r="C374" s="75">
        <v>0.1</v>
      </c>
      <c r="D374" s="76">
        <v>0.05</v>
      </c>
      <c r="E374" s="77">
        <v>3.0</v>
      </c>
      <c r="F374" s="78">
        <v>1000.0</v>
      </c>
      <c r="G374" s="79">
        <f t="shared" si="85"/>
        <v>0</v>
      </c>
      <c r="H374" s="80">
        <f t="shared" si="86"/>
        <v>0</v>
      </c>
      <c r="I374" s="81">
        <f t="shared" si="87"/>
        <v>0</v>
      </c>
      <c r="J374" s="82"/>
      <c r="K374" s="83"/>
      <c r="L374" s="84">
        <f t="shared" si="88"/>
        <v>0</v>
      </c>
      <c r="M374" s="65"/>
      <c r="N374" s="65"/>
      <c r="O374" s="65"/>
      <c r="P374" s="65"/>
      <c r="Q374" s="65"/>
      <c r="R374" s="65"/>
      <c r="S374" s="65"/>
      <c r="T374" s="65"/>
      <c r="U374" s="65"/>
      <c r="V374" s="65"/>
      <c r="W374" s="65"/>
      <c r="X374" s="65"/>
      <c r="Y374" s="65"/>
      <c r="Z374" s="66"/>
      <c r="AA374" s="66"/>
      <c r="AB374" s="66"/>
    </row>
    <row r="375" hidden="1" outlineLevel="1">
      <c r="A375" s="71">
        <v>46352.0</v>
      </c>
      <c r="B375" s="74">
        <v>0.1</v>
      </c>
      <c r="C375" s="75">
        <v>0.1</v>
      </c>
      <c r="D375" s="76">
        <v>0.05</v>
      </c>
      <c r="E375" s="77">
        <v>3.0</v>
      </c>
      <c r="F375" s="78">
        <v>1000.0</v>
      </c>
      <c r="G375" s="79">
        <f t="shared" si="85"/>
        <v>0</v>
      </c>
      <c r="H375" s="80">
        <f t="shared" si="86"/>
        <v>0</v>
      </c>
      <c r="I375" s="81">
        <f t="shared" si="87"/>
        <v>0</v>
      </c>
      <c r="J375" s="82"/>
      <c r="K375" s="83"/>
      <c r="L375" s="84">
        <f t="shared" si="88"/>
        <v>0</v>
      </c>
      <c r="M375" s="65"/>
      <c r="N375" s="65"/>
      <c r="O375" s="65"/>
      <c r="P375" s="65"/>
      <c r="Q375" s="65"/>
      <c r="R375" s="65"/>
      <c r="S375" s="65"/>
      <c r="T375" s="65"/>
      <c r="U375" s="65"/>
      <c r="V375" s="65"/>
      <c r="W375" s="65"/>
      <c r="X375" s="65"/>
      <c r="Y375" s="65"/>
      <c r="Z375" s="66"/>
      <c r="AA375" s="66"/>
      <c r="AB375" s="66"/>
    </row>
    <row r="376" hidden="1" outlineLevel="1">
      <c r="A376" s="71">
        <v>46353.0</v>
      </c>
      <c r="B376" s="74">
        <v>0.1</v>
      </c>
      <c r="C376" s="75">
        <v>0.1</v>
      </c>
      <c r="D376" s="76">
        <v>0.05</v>
      </c>
      <c r="E376" s="77">
        <v>3.0</v>
      </c>
      <c r="F376" s="78">
        <v>1000.0</v>
      </c>
      <c r="G376" s="79">
        <f t="shared" si="85"/>
        <v>0</v>
      </c>
      <c r="H376" s="80">
        <f t="shared" si="86"/>
        <v>0</v>
      </c>
      <c r="I376" s="81">
        <f t="shared" si="87"/>
        <v>0</v>
      </c>
      <c r="J376" s="82"/>
      <c r="K376" s="83"/>
      <c r="L376" s="84">
        <f t="shared" si="88"/>
        <v>0</v>
      </c>
      <c r="M376" s="65"/>
      <c r="N376" s="65"/>
      <c r="O376" s="65"/>
      <c r="P376" s="65"/>
      <c r="Q376" s="65"/>
      <c r="R376" s="65"/>
      <c r="S376" s="65"/>
      <c r="T376" s="65"/>
      <c r="U376" s="65"/>
      <c r="V376" s="65"/>
      <c r="W376" s="65"/>
      <c r="X376" s="65"/>
      <c r="Y376" s="65"/>
      <c r="Z376" s="66"/>
      <c r="AA376" s="66"/>
      <c r="AB376" s="66"/>
    </row>
    <row r="377" hidden="1" outlineLevel="1">
      <c r="A377" s="71">
        <v>46354.0</v>
      </c>
      <c r="B377" s="74">
        <v>0.1</v>
      </c>
      <c r="C377" s="75">
        <v>0.1</v>
      </c>
      <c r="D377" s="76">
        <v>0.05</v>
      </c>
      <c r="E377" s="77">
        <v>3.0</v>
      </c>
      <c r="F377" s="78">
        <v>1000.0</v>
      </c>
      <c r="G377" s="79">
        <f t="shared" si="85"/>
        <v>0</v>
      </c>
      <c r="H377" s="80">
        <f t="shared" si="86"/>
        <v>0</v>
      </c>
      <c r="I377" s="81">
        <f t="shared" si="87"/>
        <v>0</v>
      </c>
      <c r="J377" s="82"/>
      <c r="K377" s="83"/>
      <c r="L377" s="84">
        <f t="shared" si="88"/>
        <v>0</v>
      </c>
      <c r="M377" s="65"/>
      <c r="N377" s="65"/>
      <c r="O377" s="65"/>
      <c r="P377" s="65"/>
      <c r="Q377" s="65"/>
      <c r="R377" s="65"/>
      <c r="S377" s="65"/>
      <c r="T377" s="65"/>
      <c r="U377" s="65"/>
      <c r="V377" s="65"/>
      <c r="W377" s="65"/>
      <c r="X377" s="65"/>
      <c r="Y377" s="65"/>
      <c r="Z377" s="66"/>
      <c r="AA377" s="66"/>
      <c r="AB377" s="66"/>
    </row>
    <row r="378" hidden="1" outlineLevel="1">
      <c r="A378" s="71">
        <v>46355.0</v>
      </c>
      <c r="B378" s="74">
        <v>0.1</v>
      </c>
      <c r="C378" s="75">
        <v>0.1</v>
      </c>
      <c r="D378" s="76">
        <v>0.05</v>
      </c>
      <c r="E378" s="77">
        <v>3.0</v>
      </c>
      <c r="F378" s="78">
        <v>1000.0</v>
      </c>
      <c r="G378" s="79">
        <f t="shared" si="85"/>
        <v>0</v>
      </c>
      <c r="H378" s="80">
        <f t="shared" si="86"/>
        <v>0</v>
      </c>
      <c r="I378" s="81">
        <f t="shared" si="87"/>
        <v>0</v>
      </c>
      <c r="J378" s="82"/>
      <c r="K378" s="83"/>
      <c r="L378" s="84">
        <f t="shared" si="88"/>
        <v>0</v>
      </c>
      <c r="M378" s="65"/>
      <c r="N378" s="65"/>
      <c r="O378" s="65"/>
      <c r="P378" s="65"/>
      <c r="Q378" s="65"/>
      <c r="R378" s="65"/>
      <c r="S378" s="65"/>
      <c r="T378" s="65"/>
      <c r="U378" s="65"/>
      <c r="V378" s="65"/>
      <c r="W378" s="65"/>
      <c r="X378" s="65"/>
      <c r="Y378" s="65"/>
      <c r="Z378" s="66"/>
      <c r="AA378" s="66"/>
      <c r="AB378" s="66"/>
    </row>
    <row r="379" hidden="1" outlineLevel="1">
      <c r="A379" s="71">
        <v>46356.0</v>
      </c>
      <c r="B379" s="74">
        <v>0.1</v>
      </c>
      <c r="C379" s="75">
        <v>0.1</v>
      </c>
      <c r="D379" s="76">
        <v>0.05</v>
      </c>
      <c r="E379" s="77">
        <v>3.0</v>
      </c>
      <c r="F379" s="78">
        <v>1000.0</v>
      </c>
      <c r="G379" s="79">
        <f t="shared" si="85"/>
        <v>0</v>
      </c>
      <c r="H379" s="80">
        <f t="shared" si="86"/>
        <v>0</v>
      </c>
      <c r="I379" s="81">
        <f t="shared" si="87"/>
        <v>0</v>
      </c>
      <c r="J379" s="82"/>
      <c r="K379" s="83"/>
      <c r="L379" s="84">
        <f t="shared" si="88"/>
        <v>0</v>
      </c>
      <c r="M379" s="65"/>
      <c r="N379" s="65"/>
      <c r="O379" s="65"/>
      <c r="P379" s="65"/>
      <c r="Q379" s="65"/>
      <c r="R379" s="65"/>
      <c r="S379" s="65"/>
      <c r="T379" s="65"/>
      <c r="U379" s="65"/>
      <c r="V379" s="65"/>
      <c r="W379" s="65"/>
      <c r="X379" s="65"/>
      <c r="Y379" s="65"/>
      <c r="Z379" s="66"/>
      <c r="AA379" s="66"/>
      <c r="AB379" s="66"/>
    </row>
    <row r="380" hidden="1" outlineLevel="1">
      <c r="A380" s="85" t="s">
        <v>41</v>
      </c>
      <c r="C380" s="86">
        <f>SUM(C350:C379)</f>
        <v>3</v>
      </c>
      <c r="D380" s="87"/>
      <c r="E380" s="87"/>
      <c r="F380" s="87"/>
      <c r="G380" s="87"/>
      <c r="H380" s="87"/>
      <c r="I380" s="88">
        <f t="shared" ref="I380:K380" si="89">SUM(I350:I379)</f>
        <v>0</v>
      </c>
      <c r="J380" s="89">
        <f t="shared" si="89"/>
        <v>0</v>
      </c>
      <c r="K380" s="87">
        <f t="shared" si="89"/>
        <v>0</v>
      </c>
      <c r="L380" s="89">
        <f>L379</f>
        <v>0</v>
      </c>
      <c r="M380" s="65"/>
      <c r="N380" s="65"/>
      <c r="O380" s="65"/>
      <c r="P380" s="65"/>
      <c r="Q380" s="65"/>
      <c r="R380" s="65"/>
      <c r="S380" s="65"/>
      <c r="T380" s="65"/>
      <c r="U380" s="65"/>
      <c r="V380" s="65"/>
      <c r="W380" s="65"/>
      <c r="X380" s="65"/>
      <c r="Y380" s="65"/>
      <c r="Z380" s="66"/>
      <c r="AA380" s="66"/>
      <c r="AB380" s="66"/>
    </row>
    <row r="381">
      <c r="A381" s="95"/>
      <c r="B381" s="92"/>
      <c r="C381" s="92"/>
      <c r="D381" s="92"/>
      <c r="E381" s="92"/>
      <c r="F381" s="92"/>
      <c r="G381" s="92"/>
      <c r="H381" s="92"/>
      <c r="I381" s="92"/>
      <c r="J381" s="92"/>
      <c r="K381" s="94">
        <f>SUM(K350:K379)</f>
        <v>0</v>
      </c>
      <c r="L381" s="92"/>
      <c r="M381" s="65"/>
      <c r="N381" s="65"/>
      <c r="O381" s="65"/>
      <c r="P381" s="65"/>
      <c r="Q381" s="65"/>
      <c r="R381" s="65"/>
      <c r="S381" s="65"/>
      <c r="T381" s="65"/>
      <c r="U381" s="65"/>
      <c r="V381" s="65"/>
      <c r="W381" s="65"/>
      <c r="X381" s="65"/>
      <c r="Y381" s="65"/>
      <c r="Z381" s="66"/>
      <c r="AA381" s="66"/>
      <c r="AB381" s="66"/>
    </row>
    <row r="382" collapsed="1">
      <c r="A382" s="57" t="s">
        <v>53</v>
      </c>
      <c r="M382" s="65"/>
      <c r="N382" s="65"/>
      <c r="O382" s="65"/>
      <c r="P382" s="65"/>
      <c r="Q382" s="65"/>
      <c r="R382" s="65"/>
      <c r="S382" s="65"/>
      <c r="T382" s="65"/>
      <c r="U382" s="65"/>
      <c r="V382" s="65"/>
      <c r="W382" s="65"/>
      <c r="X382" s="65"/>
      <c r="Y382" s="65"/>
      <c r="Z382" s="66"/>
      <c r="AA382" s="66"/>
      <c r="AB382" s="66"/>
    </row>
    <row r="383" hidden="1" outlineLevel="1">
      <c r="A383" s="71" t="s">
        <v>29</v>
      </c>
      <c r="B383" s="57" t="s">
        <v>30</v>
      </c>
      <c r="C383" s="57" t="s">
        <v>31</v>
      </c>
      <c r="D383" s="72" t="s">
        <v>32</v>
      </c>
      <c r="E383" s="72" t="s">
        <v>33</v>
      </c>
      <c r="F383" s="72" t="s">
        <v>34</v>
      </c>
      <c r="G383" s="73" t="s">
        <v>35</v>
      </c>
      <c r="H383" s="72" t="s">
        <v>36</v>
      </c>
      <c r="I383" s="57" t="s">
        <v>37</v>
      </c>
      <c r="J383" s="74" t="s">
        <v>38</v>
      </c>
      <c r="K383" s="57" t="s">
        <v>39</v>
      </c>
      <c r="L383" s="57" t="s">
        <v>40</v>
      </c>
      <c r="M383" s="65"/>
      <c r="N383" s="65"/>
      <c r="O383" s="65"/>
      <c r="P383" s="65"/>
      <c r="Q383" s="65"/>
      <c r="R383" s="65"/>
      <c r="S383" s="65"/>
      <c r="T383" s="65"/>
      <c r="U383" s="65"/>
      <c r="V383" s="65"/>
      <c r="W383" s="65"/>
      <c r="X383" s="65"/>
      <c r="Y383" s="65"/>
      <c r="Z383" s="66"/>
      <c r="AA383" s="66"/>
      <c r="AB383" s="66"/>
    </row>
    <row r="384" hidden="1" outlineLevel="1">
      <c r="A384" s="71">
        <v>46357.0</v>
      </c>
      <c r="B384" s="74">
        <v>0.1</v>
      </c>
      <c r="C384" s="75">
        <v>0.1</v>
      </c>
      <c r="D384" s="76">
        <v>0.05</v>
      </c>
      <c r="E384" s="77">
        <v>3.0</v>
      </c>
      <c r="F384" s="78">
        <v>1000.0</v>
      </c>
      <c r="G384" s="79">
        <f>L380*C384</f>
        <v>0</v>
      </c>
      <c r="H384" s="80">
        <f>L380*D384</f>
        <v>0</v>
      </c>
      <c r="I384" s="81">
        <f>(J384/L380)*100</f>
        <v>0</v>
      </c>
      <c r="J384" s="82"/>
      <c r="K384" s="83"/>
      <c r="L384" s="84">
        <f>(L380+J384)-K384</f>
        <v>0</v>
      </c>
      <c r="M384" s="65"/>
      <c r="N384" s="65"/>
      <c r="O384" s="65"/>
      <c r="P384" s="65"/>
      <c r="Q384" s="65"/>
      <c r="R384" s="65"/>
      <c r="S384" s="65"/>
      <c r="T384" s="65"/>
      <c r="U384" s="65"/>
      <c r="V384" s="65"/>
      <c r="W384" s="65"/>
      <c r="X384" s="65"/>
      <c r="Y384" s="65"/>
      <c r="Z384" s="66"/>
      <c r="AA384" s="66"/>
      <c r="AB384" s="66"/>
    </row>
    <row r="385" hidden="1" outlineLevel="1">
      <c r="A385" s="71">
        <v>46358.0</v>
      </c>
      <c r="B385" s="74">
        <v>0.1</v>
      </c>
      <c r="C385" s="75">
        <v>0.1</v>
      </c>
      <c r="D385" s="76">
        <v>0.05</v>
      </c>
      <c r="E385" s="77">
        <v>3.0</v>
      </c>
      <c r="F385" s="78">
        <v>1000.0</v>
      </c>
      <c r="G385" s="79">
        <f t="shared" ref="G385:G414" si="90">L384*C385</f>
        <v>0</v>
      </c>
      <c r="H385" s="80">
        <f t="shared" ref="H385:H414" si="91">L384*D385</f>
        <v>0</v>
      </c>
      <c r="I385" s="81">
        <f t="shared" ref="I385:I414" si="92">(J385/L384)*100</f>
        <v>0</v>
      </c>
      <c r="J385" s="82"/>
      <c r="K385" s="83"/>
      <c r="L385" s="84">
        <f t="shared" ref="L385:L414" si="93">(L384+J385)-K385</f>
        <v>0</v>
      </c>
      <c r="M385" s="65"/>
      <c r="N385" s="65"/>
      <c r="O385" s="65"/>
      <c r="P385" s="65"/>
      <c r="Q385" s="65"/>
      <c r="R385" s="65"/>
      <c r="S385" s="65"/>
      <c r="T385" s="65"/>
      <c r="U385" s="65"/>
      <c r="V385" s="65"/>
      <c r="W385" s="65"/>
      <c r="X385" s="65"/>
      <c r="Y385" s="65"/>
      <c r="Z385" s="66"/>
      <c r="AA385" s="66"/>
      <c r="AB385" s="66"/>
    </row>
    <row r="386" hidden="1" outlineLevel="1">
      <c r="A386" s="71">
        <v>46359.0</v>
      </c>
      <c r="B386" s="74">
        <v>0.1</v>
      </c>
      <c r="C386" s="75">
        <v>0.1</v>
      </c>
      <c r="D386" s="76">
        <v>0.05</v>
      </c>
      <c r="E386" s="77">
        <v>3.0</v>
      </c>
      <c r="F386" s="78">
        <v>1000.0</v>
      </c>
      <c r="G386" s="79">
        <f t="shared" si="90"/>
        <v>0</v>
      </c>
      <c r="H386" s="80">
        <f t="shared" si="91"/>
        <v>0</v>
      </c>
      <c r="I386" s="81">
        <f t="shared" si="92"/>
        <v>0</v>
      </c>
      <c r="J386" s="82"/>
      <c r="K386" s="83"/>
      <c r="L386" s="84">
        <f t="shared" si="93"/>
        <v>0</v>
      </c>
      <c r="M386" s="65"/>
      <c r="N386" s="65"/>
      <c r="O386" s="65"/>
      <c r="P386" s="65"/>
      <c r="Q386" s="65"/>
      <c r="R386" s="65"/>
      <c r="S386" s="65"/>
      <c r="T386" s="65"/>
      <c r="U386" s="65"/>
      <c r="V386" s="65"/>
      <c r="W386" s="65"/>
      <c r="X386" s="65"/>
      <c r="Y386" s="65"/>
      <c r="Z386" s="66"/>
      <c r="AA386" s="66"/>
      <c r="AB386" s="66"/>
    </row>
    <row r="387" hidden="1" outlineLevel="1">
      <c r="A387" s="71">
        <v>46360.0</v>
      </c>
      <c r="B387" s="74">
        <v>0.1</v>
      </c>
      <c r="C387" s="75">
        <v>0.1</v>
      </c>
      <c r="D387" s="76">
        <v>0.05</v>
      </c>
      <c r="E387" s="77">
        <v>3.0</v>
      </c>
      <c r="F387" s="78">
        <v>1000.0</v>
      </c>
      <c r="G387" s="79">
        <f t="shared" si="90"/>
        <v>0</v>
      </c>
      <c r="H387" s="80">
        <f t="shared" si="91"/>
        <v>0</v>
      </c>
      <c r="I387" s="81">
        <f t="shared" si="92"/>
        <v>0</v>
      </c>
      <c r="J387" s="82"/>
      <c r="K387" s="83"/>
      <c r="L387" s="84">
        <f t="shared" si="93"/>
        <v>0</v>
      </c>
      <c r="M387" s="65"/>
      <c r="N387" s="65"/>
      <c r="O387" s="65"/>
      <c r="P387" s="65"/>
      <c r="Q387" s="65"/>
      <c r="R387" s="65"/>
      <c r="S387" s="65"/>
      <c r="T387" s="65"/>
      <c r="U387" s="65"/>
      <c r="V387" s="65"/>
      <c r="W387" s="65"/>
      <c r="X387" s="65"/>
      <c r="Y387" s="65"/>
      <c r="Z387" s="66"/>
      <c r="AA387" s="66"/>
      <c r="AB387" s="66"/>
    </row>
    <row r="388" hidden="1" outlineLevel="1">
      <c r="A388" s="71">
        <v>46361.0</v>
      </c>
      <c r="B388" s="74">
        <v>0.1</v>
      </c>
      <c r="C388" s="75">
        <v>0.1</v>
      </c>
      <c r="D388" s="76">
        <v>0.05</v>
      </c>
      <c r="E388" s="77">
        <v>3.0</v>
      </c>
      <c r="F388" s="78">
        <v>1000.0</v>
      </c>
      <c r="G388" s="79">
        <f t="shared" si="90"/>
        <v>0</v>
      </c>
      <c r="H388" s="80">
        <f t="shared" si="91"/>
        <v>0</v>
      </c>
      <c r="I388" s="81">
        <f t="shared" si="92"/>
        <v>0</v>
      </c>
      <c r="J388" s="82"/>
      <c r="K388" s="83"/>
      <c r="L388" s="84">
        <f t="shared" si="93"/>
        <v>0</v>
      </c>
      <c r="M388" s="65"/>
      <c r="N388" s="65"/>
      <c r="O388" s="65"/>
      <c r="P388" s="65"/>
      <c r="Q388" s="65"/>
      <c r="R388" s="65"/>
      <c r="S388" s="65"/>
      <c r="T388" s="65"/>
      <c r="U388" s="65"/>
      <c r="V388" s="65"/>
      <c r="W388" s="65"/>
      <c r="X388" s="65"/>
      <c r="Y388" s="65"/>
      <c r="Z388" s="66"/>
      <c r="AA388" s="66"/>
      <c r="AB388" s="66"/>
    </row>
    <row r="389" hidden="1" outlineLevel="1">
      <c r="A389" s="71">
        <v>46362.0</v>
      </c>
      <c r="B389" s="74">
        <v>0.1</v>
      </c>
      <c r="C389" s="75">
        <v>0.1</v>
      </c>
      <c r="D389" s="76">
        <v>0.05</v>
      </c>
      <c r="E389" s="77">
        <v>3.0</v>
      </c>
      <c r="F389" s="78">
        <v>1000.0</v>
      </c>
      <c r="G389" s="79">
        <f t="shared" si="90"/>
        <v>0</v>
      </c>
      <c r="H389" s="80">
        <f t="shared" si="91"/>
        <v>0</v>
      </c>
      <c r="I389" s="81">
        <f t="shared" si="92"/>
        <v>0</v>
      </c>
      <c r="J389" s="82"/>
      <c r="K389" s="83"/>
      <c r="L389" s="84">
        <f t="shared" si="93"/>
        <v>0</v>
      </c>
      <c r="M389" s="65"/>
      <c r="N389" s="65"/>
      <c r="O389" s="65"/>
      <c r="P389" s="65"/>
      <c r="Q389" s="65"/>
      <c r="R389" s="65"/>
      <c r="S389" s="65"/>
      <c r="T389" s="65"/>
      <c r="U389" s="65"/>
      <c r="V389" s="65"/>
      <c r="W389" s="65"/>
      <c r="X389" s="65"/>
      <c r="Y389" s="65"/>
      <c r="Z389" s="66"/>
      <c r="AA389" s="66"/>
      <c r="AB389" s="66"/>
    </row>
    <row r="390" hidden="1" outlineLevel="1">
      <c r="A390" s="71">
        <v>46363.0</v>
      </c>
      <c r="B390" s="74">
        <v>0.1</v>
      </c>
      <c r="C390" s="75">
        <v>0.1</v>
      </c>
      <c r="D390" s="76">
        <v>0.05</v>
      </c>
      <c r="E390" s="77">
        <v>3.0</v>
      </c>
      <c r="F390" s="78">
        <v>1000.0</v>
      </c>
      <c r="G390" s="79">
        <f t="shared" si="90"/>
        <v>0</v>
      </c>
      <c r="H390" s="80">
        <f t="shared" si="91"/>
        <v>0</v>
      </c>
      <c r="I390" s="81">
        <f t="shared" si="92"/>
        <v>0</v>
      </c>
      <c r="J390" s="82"/>
      <c r="K390" s="83"/>
      <c r="L390" s="84">
        <f t="shared" si="93"/>
        <v>0</v>
      </c>
      <c r="M390" s="65"/>
      <c r="N390" s="65"/>
      <c r="O390" s="65"/>
      <c r="P390" s="65"/>
      <c r="Q390" s="65"/>
      <c r="R390" s="65"/>
      <c r="S390" s="65"/>
      <c r="T390" s="65"/>
      <c r="U390" s="65"/>
      <c r="V390" s="65"/>
      <c r="W390" s="65"/>
      <c r="X390" s="65"/>
      <c r="Y390" s="65"/>
      <c r="Z390" s="66"/>
      <c r="AA390" s="66"/>
      <c r="AB390" s="66"/>
    </row>
    <row r="391" hidden="1" outlineLevel="1">
      <c r="A391" s="71">
        <v>46364.0</v>
      </c>
      <c r="B391" s="74">
        <v>0.1</v>
      </c>
      <c r="C391" s="75">
        <v>0.1</v>
      </c>
      <c r="D391" s="76">
        <v>0.05</v>
      </c>
      <c r="E391" s="77">
        <v>3.0</v>
      </c>
      <c r="F391" s="78">
        <v>1000.0</v>
      </c>
      <c r="G391" s="79">
        <f t="shared" si="90"/>
        <v>0</v>
      </c>
      <c r="H391" s="80">
        <f t="shared" si="91"/>
        <v>0</v>
      </c>
      <c r="I391" s="81">
        <f t="shared" si="92"/>
        <v>0</v>
      </c>
      <c r="J391" s="82"/>
      <c r="K391" s="83"/>
      <c r="L391" s="84">
        <f t="shared" si="93"/>
        <v>0</v>
      </c>
      <c r="M391" s="65"/>
      <c r="N391" s="65"/>
      <c r="O391" s="65"/>
      <c r="P391" s="65"/>
      <c r="Q391" s="65"/>
      <c r="R391" s="65"/>
      <c r="S391" s="65"/>
      <c r="T391" s="65"/>
      <c r="U391" s="65"/>
      <c r="V391" s="65"/>
      <c r="W391" s="65"/>
      <c r="X391" s="65"/>
      <c r="Y391" s="65"/>
      <c r="Z391" s="66"/>
      <c r="AA391" s="66"/>
      <c r="AB391" s="66"/>
    </row>
    <row r="392" hidden="1" outlineLevel="1">
      <c r="A392" s="71">
        <v>46365.0</v>
      </c>
      <c r="B392" s="74">
        <v>0.1</v>
      </c>
      <c r="C392" s="75">
        <v>0.1</v>
      </c>
      <c r="D392" s="76">
        <v>0.05</v>
      </c>
      <c r="E392" s="77">
        <v>3.0</v>
      </c>
      <c r="F392" s="78">
        <v>1000.0</v>
      </c>
      <c r="G392" s="79">
        <f t="shared" si="90"/>
        <v>0</v>
      </c>
      <c r="H392" s="80">
        <f t="shared" si="91"/>
        <v>0</v>
      </c>
      <c r="I392" s="81">
        <f t="shared" si="92"/>
        <v>0</v>
      </c>
      <c r="J392" s="82"/>
      <c r="K392" s="83"/>
      <c r="L392" s="84">
        <f t="shared" si="93"/>
        <v>0</v>
      </c>
      <c r="M392" s="65"/>
      <c r="N392" s="65"/>
      <c r="O392" s="65"/>
      <c r="P392" s="65"/>
      <c r="Q392" s="65"/>
      <c r="R392" s="65"/>
      <c r="S392" s="65"/>
      <c r="T392" s="65"/>
      <c r="U392" s="65"/>
      <c r="V392" s="65"/>
      <c r="W392" s="65"/>
      <c r="X392" s="65"/>
      <c r="Y392" s="65"/>
      <c r="Z392" s="66"/>
      <c r="AA392" s="66"/>
      <c r="AB392" s="66"/>
    </row>
    <row r="393" hidden="1" outlineLevel="1">
      <c r="A393" s="71">
        <v>46366.0</v>
      </c>
      <c r="B393" s="74">
        <v>0.1</v>
      </c>
      <c r="C393" s="75">
        <v>0.1</v>
      </c>
      <c r="D393" s="76">
        <v>0.05</v>
      </c>
      <c r="E393" s="77">
        <v>3.0</v>
      </c>
      <c r="F393" s="78">
        <v>1000.0</v>
      </c>
      <c r="G393" s="79">
        <f t="shared" si="90"/>
        <v>0</v>
      </c>
      <c r="H393" s="80">
        <f t="shared" si="91"/>
        <v>0</v>
      </c>
      <c r="I393" s="81">
        <f t="shared" si="92"/>
        <v>0</v>
      </c>
      <c r="J393" s="82"/>
      <c r="K393" s="83"/>
      <c r="L393" s="84">
        <f t="shared" si="93"/>
        <v>0</v>
      </c>
      <c r="M393" s="65"/>
      <c r="N393" s="65"/>
      <c r="O393" s="65"/>
      <c r="P393" s="65"/>
      <c r="Q393" s="65"/>
      <c r="R393" s="65"/>
      <c r="S393" s="65"/>
      <c r="T393" s="65"/>
      <c r="U393" s="65"/>
      <c r="V393" s="65"/>
      <c r="W393" s="65"/>
      <c r="X393" s="65"/>
      <c r="Y393" s="65"/>
      <c r="Z393" s="66"/>
      <c r="AA393" s="66"/>
      <c r="AB393" s="66"/>
    </row>
    <row r="394" hidden="1" outlineLevel="1">
      <c r="A394" s="71">
        <v>46367.0</v>
      </c>
      <c r="B394" s="74">
        <v>0.1</v>
      </c>
      <c r="C394" s="75">
        <v>0.1</v>
      </c>
      <c r="D394" s="76">
        <v>0.05</v>
      </c>
      <c r="E394" s="77">
        <v>3.0</v>
      </c>
      <c r="F394" s="78">
        <v>1000.0</v>
      </c>
      <c r="G394" s="79">
        <f t="shared" si="90"/>
        <v>0</v>
      </c>
      <c r="H394" s="80">
        <f t="shared" si="91"/>
        <v>0</v>
      </c>
      <c r="I394" s="81">
        <f t="shared" si="92"/>
        <v>0</v>
      </c>
      <c r="J394" s="82"/>
      <c r="K394" s="83"/>
      <c r="L394" s="84">
        <f t="shared" si="93"/>
        <v>0</v>
      </c>
      <c r="M394" s="65"/>
      <c r="N394" s="65"/>
      <c r="O394" s="65"/>
      <c r="P394" s="65"/>
      <c r="Q394" s="65"/>
      <c r="R394" s="65"/>
      <c r="S394" s="65"/>
      <c r="T394" s="65"/>
      <c r="U394" s="65"/>
      <c r="V394" s="65"/>
      <c r="W394" s="65"/>
      <c r="X394" s="65"/>
      <c r="Y394" s="65"/>
      <c r="Z394" s="66"/>
      <c r="AA394" s="66"/>
      <c r="AB394" s="66"/>
    </row>
    <row r="395" hidden="1" outlineLevel="1">
      <c r="A395" s="71">
        <v>46368.0</v>
      </c>
      <c r="B395" s="74">
        <v>0.1</v>
      </c>
      <c r="C395" s="75">
        <v>0.1</v>
      </c>
      <c r="D395" s="76">
        <v>0.05</v>
      </c>
      <c r="E395" s="77">
        <v>3.0</v>
      </c>
      <c r="F395" s="78">
        <v>1000.0</v>
      </c>
      <c r="G395" s="79">
        <f t="shared" si="90"/>
        <v>0</v>
      </c>
      <c r="H395" s="80">
        <f t="shared" si="91"/>
        <v>0</v>
      </c>
      <c r="I395" s="81">
        <f t="shared" si="92"/>
        <v>0</v>
      </c>
      <c r="J395" s="82"/>
      <c r="K395" s="83"/>
      <c r="L395" s="84">
        <f t="shared" si="93"/>
        <v>0</v>
      </c>
      <c r="M395" s="65"/>
      <c r="N395" s="65"/>
      <c r="O395" s="65"/>
      <c r="P395" s="65"/>
      <c r="Q395" s="65"/>
      <c r="R395" s="65"/>
      <c r="S395" s="65"/>
      <c r="T395" s="65"/>
      <c r="U395" s="65"/>
      <c r="V395" s="65"/>
      <c r="W395" s="65"/>
      <c r="X395" s="65"/>
      <c r="Y395" s="65"/>
      <c r="Z395" s="66"/>
      <c r="AA395" s="66"/>
      <c r="AB395" s="66"/>
    </row>
    <row r="396" hidden="1" outlineLevel="1">
      <c r="A396" s="71">
        <v>46369.0</v>
      </c>
      <c r="B396" s="74">
        <v>0.1</v>
      </c>
      <c r="C396" s="75">
        <v>0.1</v>
      </c>
      <c r="D396" s="76">
        <v>0.05</v>
      </c>
      <c r="E396" s="77">
        <v>3.0</v>
      </c>
      <c r="F396" s="78">
        <v>1000.0</v>
      </c>
      <c r="G396" s="79">
        <f t="shared" si="90"/>
        <v>0</v>
      </c>
      <c r="H396" s="80">
        <f t="shared" si="91"/>
        <v>0</v>
      </c>
      <c r="I396" s="81">
        <f t="shared" si="92"/>
        <v>0</v>
      </c>
      <c r="J396" s="82"/>
      <c r="K396" s="83"/>
      <c r="L396" s="84">
        <f t="shared" si="93"/>
        <v>0</v>
      </c>
      <c r="M396" s="65"/>
      <c r="N396" s="65"/>
      <c r="O396" s="65"/>
      <c r="P396" s="65"/>
      <c r="Q396" s="65"/>
      <c r="R396" s="65"/>
      <c r="S396" s="65"/>
      <c r="T396" s="65"/>
      <c r="U396" s="65"/>
      <c r="V396" s="65"/>
      <c r="W396" s="65"/>
      <c r="X396" s="65"/>
      <c r="Y396" s="65"/>
      <c r="Z396" s="66"/>
      <c r="AA396" s="66"/>
      <c r="AB396" s="66"/>
    </row>
    <row r="397" hidden="1" outlineLevel="1">
      <c r="A397" s="71">
        <v>46370.0</v>
      </c>
      <c r="B397" s="74">
        <v>0.1</v>
      </c>
      <c r="C397" s="75">
        <v>0.1</v>
      </c>
      <c r="D397" s="76">
        <v>0.05</v>
      </c>
      <c r="E397" s="77">
        <v>3.0</v>
      </c>
      <c r="F397" s="78">
        <v>1000.0</v>
      </c>
      <c r="G397" s="79">
        <f t="shared" si="90"/>
        <v>0</v>
      </c>
      <c r="H397" s="80">
        <f t="shared" si="91"/>
        <v>0</v>
      </c>
      <c r="I397" s="81">
        <f t="shared" si="92"/>
        <v>0</v>
      </c>
      <c r="J397" s="82"/>
      <c r="K397" s="83"/>
      <c r="L397" s="84">
        <f t="shared" si="93"/>
        <v>0</v>
      </c>
      <c r="M397" s="65"/>
      <c r="N397" s="65"/>
      <c r="O397" s="65"/>
      <c r="P397" s="65"/>
      <c r="Q397" s="65"/>
      <c r="R397" s="65"/>
      <c r="S397" s="65"/>
      <c r="T397" s="65"/>
      <c r="U397" s="65"/>
      <c r="V397" s="65"/>
      <c r="W397" s="65"/>
      <c r="X397" s="65"/>
      <c r="Y397" s="65"/>
      <c r="Z397" s="66"/>
      <c r="AA397" s="66"/>
      <c r="AB397" s="66"/>
    </row>
    <row r="398" hidden="1" outlineLevel="1">
      <c r="A398" s="71">
        <v>46371.0</v>
      </c>
      <c r="B398" s="74">
        <v>0.1</v>
      </c>
      <c r="C398" s="75">
        <v>0.1</v>
      </c>
      <c r="D398" s="76">
        <v>0.05</v>
      </c>
      <c r="E398" s="77">
        <v>3.0</v>
      </c>
      <c r="F398" s="78">
        <v>1000.0</v>
      </c>
      <c r="G398" s="79">
        <f t="shared" si="90"/>
        <v>0</v>
      </c>
      <c r="H398" s="80">
        <f t="shared" si="91"/>
        <v>0</v>
      </c>
      <c r="I398" s="81">
        <f t="shared" si="92"/>
        <v>0</v>
      </c>
      <c r="J398" s="82"/>
      <c r="K398" s="83"/>
      <c r="L398" s="84">
        <f t="shared" si="93"/>
        <v>0</v>
      </c>
      <c r="M398" s="65"/>
      <c r="N398" s="65"/>
      <c r="O398" s="65"/>
      <c r="P398" s="65"/>
      <c r="Q398" s="65"/>
      <c r="R398" s="65"/>
      <c r="S398" s="65"/>
      <c r="T398" s="65"/>
      <c r="U398" s="65"/>
      <c r="V398" s="65"/>
      <c r="W398" s="65"/>
      <c r="X398" s="65"/>
      <c r="Y398" s="65"/>
      <c r="Z398" s="66"/>
      <c r="AA398" s="66"/>
      <c r="AB398" s="66"/>
    </row>
    <row r="399" hidden="1" outlineLevel="1">
      <c r="A399" s="71">
        <v>46372.0</v>
      </c>
      <c r="B399" s="74">
        <v>0.1</v>
      </c>
      <c r="C399" s="75">
        <v>0.1</v>
      </c>
      <c r="D399" s="76">
        <v>0.05</v>
      </c>
      <c r="E399" s="77">
        <v>3.0</v>
      </c>
      <c r="F399" s="78">
        <v>1000.0</v>
      </c>
      <c r="G399" s="79">
        <f t="shared" si="90"/>
        <v>0</v>
      </c>
      <c r="H399" s="80">
        <f t="shared" si="91"/>
        <v>0</v>
      </c>
      <c r="I399" s="81">
        <f t="shared" si="92"/>
        <v>0</v>
      </c>
      <c r="J399" s="82"/>
      <c r="K399" s="83"/>
      <c r="L399" s="84">
        <f t="shared" si="93"/>
        <v>0</v>
      </c>
      <c r="M399" s="65"/>
      <c r="N399" s="65"/>
      <c r="O399" s="65"/>
      <c r="P399" s="65"/>
      <c r="Q399" s="65"/>
      <c r="R399" s="65"/>
      <c r="S399" s="65"/>
      <c r="T399" s="65"/>
      <c r="U399" s="65"/>
      <c r="V399" s="65"/>
      <c r="W399" s="65"/>
      <c r="X399" s="65"/>
      <c r="Y399" s="65"/>
      <c r="Z399" s="66"/>
      <c r="AA399" s="66"/>
      <c r="AB399" s="66"/>
    </row>
    <row r="400" hidden="1" outlineLevel="1">
      <c r="A400" s="71">
        <v>46373.0</v>
      </c>
      <c r="B400" s="74">
        <v>0.1</v>
      </c>
      <c r="C400" s="75">
        <v>0.1</v>
      </c>
      <c r="D400" s="76">
        <v>0.05</v>
      </c>
      <c r="E400" s="77">
        <v>3.0</v>
      </c>
      <c r="F400" s="78">
        <v>1000.0</v>
      </c>
      <c r="G400" s="79">
        <f t="shared" si="90"/>
        <v>0</v>
      </c>
      <c r="H400" s="80">
        <f t="shared" si="91"/>
        <v>0</v>
      </c>
      <c r="I400" s="81">
        <f t="shared" si="92"/>
        <v>0</v>
      </c>
      <c r="J400" s="82"/>
      <c r="K400" s="83"/>
      <c r="L400" s="84">
        <f t="shared" si="93"/>
        <v>0</v>
      </c>
      <c r="M400" s="65"/>
      <c r="N400" s="65"/>
      <c r="O400" s="65"/>
      <c r="P400" s="65"/>
      <c r="Q400" s="65"/>
      <c r="R400" s="65"/>
      <c r="S400" s="65"/>
      <c r="T400" s="65"/>
      <c r="U400" s="65"/>
      <c r="V400" s="65"/>
      <c r="W400" s="65"/>
      <c r="X400" s="65"/>
      <c r="Y400" s="65"/>
      <c r="Z400" s="66"/>
      <c r="AA400" s="66"/>
      <c r="AB400" s="66"/>
    </row>
    <row r="401" hidden="1" outlineLevel="1">
      <c r="A401" s="71">
        <v>46374.0</v>
      </c>
      <c r="B401" s="74">
        <v>0.1</v>
      </c>
      <c r="C401" s="75">
        <v>0.1</v>
      </c>
      <c r="D401" s="76">
        <v>0.05</v>
      </c>
      <c r="E401" s="77">
        <v>3.0</v>
      </c>
      <c r="F401" s="78">
        <v>1000.0</v>
      </c>
      <c r="G401" s="79">
        <f t="shared" si="90"/>
        <v>0</v>
      </c>
      <c r="H401" s="80">
        <f t="shared" si="91"/>
        <v>0</v>
      </c>
      <c r="I401" s="81">
        <f t="shared" si="92"/>
        <v>0</v>
      </c>
      <c r="J401" s="82"/>
      <c r="K401" s="83"/>
      <c r="L401" s="84">
        <f t="shared" si="93"/>
        <v>0</v>
      </c>
      <c r="M401" s="65"/>
      <c r="N401" s="65"/>
      <c r="O401" s="65"/>
      <c r="P401" s="65"/>
      <c r="Q401" s="65"/>
      <c r="R401" s="65"/>
      <c r="S401" s="65"/>
      <c r="T401" s="65"/>
      <c r="U401" s="65"/>
      <c r="V401" s="65"/>
      <c r="W401" s="65"/>
      <c r="X401" s="65"/>
      <c r="Y401" s="65"/>
      <c r="Z401" s="66"/>
      <c r="AA401" s="66"/>
      <c r="AB401" s="66"/>
    </row>
    <row r="402" hidden="1" outlineLevel="1">
      <c r="A402" s="71">
        <v>46375.0</v>
      </c>
      <c r="B402" s="74">
        <v>0.1</v>
      </c>
      <c r="C402" s="75">
        <v>0.1</v>
      </c>
      <c r="D402" s="76">
        <v>0.05</v>
      </c>
      <c r="E402" s="77">
        <v>3.0</v>
      </c>
      <c r="F402" s="78">
        <v>1000.0</v>
      </c>
      <c r="G402" s="79">
        <f t="shared" si="90"/>
        <v>0</v>
      </c>
      <c r="H402" s="80">
        <f t="shared" si="91"/>
        <v>0</v>
      </c>
      <c r="I402" s="81">
        <f t="shared" si="92"/>
        <v>0</v>
      </c>
      <c r="J402" s="82"/>
      <c r="K402" s="83"/>
      <c r="L402" s="84">
        <f t="shared" si="93"/>
        <v>0</v>
      </c>
      <c r="M402" s="65"/>
      <c r="N402" s="65"/>
      <c r="O402" s="65"/>
      <c r="P402" s="65"/>
      <c r="Q402" s="65"/>
      <c r="R402" s="65"/>
      <c r="S402" s="65"/>
      <c r="T402" s="65"/>
      <c r="U402" s="65"/>
      <c r="V402" s="65"/>
      <c r="W402" s="65"/>
      <c r="X402" s="65"/>
      <c r="Y402" s="65"/>
      <c r="Z402" s="66"/>
      <c r="AA402" s="66"/>
      <c r="AB402" s="66"/>
    </row>
    <row r="403" hidden="1" outlineLevel="1">
      <c r="A403" s="71">
        <v>46376.0</v>
      </c>
      <c r="B403" s="74">
        <v>0.1</v>
      </c>
      <c r="C403" s="75">
        <v>0.1</v>
      </c>
      <c r="D403" s="76">
        <v>0.05</v>
      </c>
      <c r="E403" s="77">
        <v>3.0</v>
      </c>
      <c r="F403" s="78">
        <v>1000.0</v>
      </c>
      <c r="G403" s="79">
        <f t="shared" si="90"/>
        <v>0</v>
      </c>
      <c r="H403" s="80">
        <f t="shared" si="91"/>
        <v>0</v>
      </c>
      <c r="I403" s="81">
        <f t="shared" si="92"/>
        <v>0</v>
      </c>
      <c r="J403" s="82"/>
      <c r="K403" s="83"/>
      <c r="L403" s="84">
        <f t="shared" si="93"/>
        <v>0</v>
      </c>
      <c r="M403" s="65"/>
      <c r="N403" s="65"/>
      <c r="O403" s="65"/>
      <c r="P403" s="65"/>
      <c r="Q403" s="65"/>
      <c r="R403" s="65"/>
      <c r="S403" s="65"/>
      <c r="T403" s="65"/>
      <c r="U403" s="65"/>
      <c r="V403" s="65"/>
      <c r="W403" s="65"/>
      <c r="X403" s="65"/>
      <c r="Y403" s="65"/>
      <c r="Z403" s="66"/>
      <c r="AA403" s="66"/>
      <c r="AB403" s="66"/>
    </row>
    <row r="404" hidden="1" outlineLevel="1">
      <c r="A404" s="71">
        <v>46377.0</v>
      </c>
      <c r="B404" s="74">
        <v>0.1</v>
      </c>
      <c r="C404" s="75">
        <v>0.1</v>
      </c>
      <c r="D404" s="76">
        <v>0.05</v>
      </c>
      <c r="E404" s="77">
        <v>3.0</v>
      </c>
      <c r="F404" s="78">
        <v>1000.0</v>
      </c>
      <c r="G404" s="79">
        <f t="shared" si="90"/>
        <v>0</v>
      </c>
      <c r="H404" s="80">
        <f t="shared" si="91"/>
        <v>0</v>
      </c>
      <c r="I404" s="81">
        <f t="shared" si="92"/>
        <v>0</v>
      </c>
      <c r="J404" s="82"/>
      <c r="K404" s="83"/>
      <c r="L404" s="84">
        <f t="shared" si="93"/>
        <v>0</v>
      </c>
      <c r="M404" s="65"/>
      <c r="N404" s="65"/>
      <c r="O404" s="65"/>
      <c r="P404" s="65"/>
      <c r="Q404" s="65"/>
      <c r="R404" s="65"/>
      <c r="S404" s="65"/>
      <c r="T404" s="65"/>
      <c r="U404" s="65"/>
      <c r="V404" s="65"/>
      <c r="W404" s="65"/>
      <c r="X404" s="65"/>
      <c r="Y404" s="65"/>
      <c r="Z404" s="66"/>
      <c r="AA404" s="66"/>
      <c r="AB404" s="66"/>
    </row>
    <row r="405" hidden="1" outlineLevel="1">
      <c r="A405" s="71">
        <v>46378.0</v>
      </c>
      <c r="B405" s="74">
        <v>0.1</v>
      </c>
      <c r="C405" s="75">
        <v>0.1</v>
      </c>
      <c r="D405" s="76">
        <v>0.05</v>
      </c>
      <c r="E405" s="77">
        <v>3.0</v>
      </c>
      <c r="F405" s="78">
        <v>1000.0</v>
      </c>
      <c r="G405" s="79">
        <f t="shared" si="90"/>
        <v>0</v>
      </c>
      <c r="H405" s="80">
        <f t="shared" si="91"/>
        <v>0</v>
      </c>
      <c r="I405" s="81">
        <f t="shared" si="92"/>
        <v>0</v>
      </c>
      <c r="J405" s="82"/>
      <c r="K405" s="83"/>
      <c r="L405" s="84">
        <f t="shared" si="93"/>
        <v>0</v>
      </c>
      <c r="M405" s="65"/>
      <c r="N405" s="65"/>
      <c r="O405" s="65"/>
      <c r="P405" s="65"/>
      <c r="Q405" s="65"/>
      <c r="R405" s="65"/>
      <c r="S405" s="65"/>
      <c r="T405" s="65"/>
      <c r="U405" s="65"/>
      <c r="V405" s="65"/>
      <c r="W405" s="65"/>
      <c r="X405" s="65"/>
      <c r="Y405" s="65"/>
      <c r="Z405" s="66"/>
      <c r="AA405" s="66"/>
      <c r="AB405" s="66"/>
    </row>
    <row r="406" hidden="1" outlineLevel="1">
      <c r="A406" s="71">
        <v>46379.0</v>
      </c>
      <c r="B406" s="74">
        <v>0.1</v>
      </c>
      <c r="C406" s="75">
        <v>0.1</v>
      </c>
      <c r="D406" s="76">
        <v>0.05</v>
      </c>
      <c r="E406" s="77">
        <v>3.0</v>
      </c>
      <c r="F406" s="78">
        <v>1000.0</v>
      </c>
      <c r="G406" s="79">
        <f t="shared" si="90"/>
        <v>0</v>
      </c>
      <c r="H406" s="80">
        <f t="shared" si="91"/>
        <v>0</v>
      </c>
      <c r="I406" s="81">
        <f t="shared" si="92"/>
        <v>0</v>
      </c>
      <c r="J406" s="82"/>
      <c r="K406" s="83"/>
      <c r="L406" s="84">
        <f t="shared" si="93"/>
        <v>0</v>
      </c>
      <c r="M406" s="65"/>
      <c r="N406" s="65"/>
      <c r="O406" s="65"/>
      <c r="P406" s="65"/>
      <c r="Q406" s="65"/>
      <c r="R406" s="65"/>
      <c r="S406" s="65"/>
      <c r="T406" s="65"/>
      <c r="U406" s="65"/>
      <c r="V406" s="65"/>
      <c r="W406" s="65"/>
      <c r="X406" s="65"/>
      <c r="Y406" s="65"/>
      <c r="Z406" s="66"/>
      <c r="AA406" s="66"/>
      <c r="AB406" s="66"/>
    </row>
    <row r="407" hidden="1" outlineLevel="1">
      <c r="A407" s="71">
        <v>46380.0</v>
      </c>
      <c r="B407" s="74">
        <v>0.1</v>
      </c>
      <c r="C407" s="75">
        <v>0.1</v>
      </c>
      <c r="D407" s="76">
        <v>0.05</v>
      </c>
      <c r="E407" s="77">
        <v>3.0</v>
      </c>
      <c r="F407" s="78">
        <v>1000.0</v>
      </c>
      <c r="G407" s="79">
        <f t="shared" si="90"/>
        <v>0</v>
      </c>
      <c r="H407" s="80">
        <f t="shared" si="91"/>
        <v>0</v>
      </c>
      <c r="I407" s="81">
        <f t="shared" si="92"/>
        <v>0</v>
      </c>
      <c r="J407" s="82"/>
      <c r="K407" s="83"/>
      <c r="L407" s="84">
        <f t="shared" si="93"/>
        <v>0</v>
      </c>
      <c r="M407" s="65"/>
      <c r="N407" s="65"/>
      <c r="O407" s="65"/>
      <c r="P407" s="65"/>
      <c r="Q407" s="65"/>
      <c r="R407" s="65"/>
      <c r="S407" s="65"/>
      <c r="T407" s="65"/>
      <c r="U407" s="65"/>
      <c r="V407" s="65"/>
      <c r="W407" s="65"/>
      <c r="X407" s="65"/>
      <c r="Y407" s="65"/>
      <c r="Z407" s="66"/>
      <c r="AA407" s="66"/>
      <c r="AB407" s="66"/>
    </row>
    <row r="408" hidden="1" outlineLevel="1">
      <c r="A408" s="71">
        <v>46381.0</v>
      </c>
      <c r="B408" s="74">
        <v>0.1</v>
      </c>
      <c r="C408" s="75">
        <v>0.1</v>
      </c>
      <c r="D408" s="76">
        <v>0.05</v>
      </c>
      <c r="E408" s="77">
        <v>3.0</v>
      </c>
      <c r="F408" s="78">
        <v>1000.0</v>
      </c>
      <c r="G408" s="79">
        <f t="shared" si="90"/>
        <v>0</v>
      </c>
      <c r="H408" s="80">
        <f t="shared" si="91"/>
        <v>0</v>
      </c>
      <c r="I408" s="81">
        <f t="shared" si="92"/>
        <v>0</v>
      </c>
      <c r="J408" s="82"/>
      <c r="K408" s="83"/>
      <c r="L408" s="84">
        <f t="shared" si="93"/>
        <v>0</v>
      </c>
      <c r="M408" s="65"/>
      <c r="N408" s="65"/>
      <c r="O408" s="65"/>
      <c r="P408" s="65"/>
      <c r="Q408" s="65"/>
      <c r="R408" s="65"/>
      <c r="S408" s="65"/>
      <c r="T408" s="65"/>
      <c r="U408" s="65"/>
      <c r="V408" s="65"/>
      <c r="W408" s="65"/>
      <c r="X408" s="65"/>
      <c r="Y408" s="65"/>
      <c r="Z408" s="66"/>
      <c r="AA408" s="66"/>
      <c r="AB408" s="66"/>
    </row>
    <row r="409" hidden="1" outlineLevel="1">
      <c r="A409" s="71">
        <v>46382.0</v>
      </c>
      <c r="B409" s="74">
        <v>0.1</v>
      </c>
      <c r="C409" s="75">
        <v>0.1</v>
      </c>
      <c r="D409" s="76">
        <v>0.05</v>
      </c>
      <c r="E409" s="77">
        <v>3.0</v>
      </c>
      <c r="F409" s="78">
        <v>1000.0</v>
      </c>
      <c r="G409" s="79">
        <f t="shared" si="90"/>
        <v>0</v>
      </c>
      <c r="H409" s="80">
        <f t="shared" si="91"/>
        <v>0</v>
      </c>
      <c r="I409" s="81">
        <f t="shared" si="92"/>
        <v>0</v>
      </c>
      <c r="J409" s="82"/>
      <c r="K409" s="83"/>
      <c r="L409" s="84">
        <f t="shared" si="93"/>
        <v>0</v>
      </c>
      <c r="M409" s="65"/>
      <c r="N409" s="65"/>
      <c r="O409" s="65"/>
      <c r="P409" s="65"/>
      <c r="Q409" s="65"/>
      <c r="R409" s="65"/>
      <c r="S409" s="65"/>
      <c r="T409" s="65"/>
      <c r="U409" s="65"/>
      <c r="V409" s="65"/>
      <c r="W409" s="65"/>
      <c r="X409" s="65"/>
      <c r="Y409" s="65"/>
      <c r="Z409" s="66"/>
      <c r="AA409" s="66"/>
      <c r="AB409" s="66"/>
    </row>
    <row r="410" hidden="1" outlineLevel="1">
      <c r="A410" s="71">
        <v>46383.0</v>
      </c>
      <c r="B410" s="74">
        <v>0.1</v>
      </c>
      <c r="C410" s="75">
        <v>0.1</v>
      </c>
      <c r="D410" s="76">
        <v>0.05</v>
      </c>
      <c r="E410" s="77">
        <v>3.0</v>
      </c>
      <c r="F410" s="78">
        <v>1000.0</v>
      </c>
      <c r="G410" s="79">
        <f t="shared" si="90"/>
        <v>0</v>
      </c>
      <c r="H410" s="80">
        <f t="shared" si="91"/>
        <v>0</v>
      </c>
      <c r="I410" s="81">
        <f t="shared" si="92"/>
        <v>0</v>
      </c>
      <c r="J410" s="82"/>
      <c r="K410" s="83"/>
      <c r="L410" s="84">
        <f t="shared" si="93"/>
        <v>0</v>
      </c>
      <c r="M410" s="65"/>
      <c r="N410" s="65"/>
      <c r="O410" s="65"/>
      <c r="P410" s="65"/>
      <c r="Q410" s="65"/>
      <c r="R410" s="65"/>
      <c r="S410" s="65"/>
      <c r="T410" s="65"/>
      <c r="U410" s="65"/>
      <c r="V410" s="65"/>
      <c r="W410" s="65"/>
      <c r="X410" s="65"/>
      <c r="Y410" s="65"/>
      <c r="Z410" s="66"/>
      <c r="AA410" s="66"/>
      <c r="AB410" s="66"/>
    </row>
    <row r="411" hidden="1" outlineLevel="1">
      <c r="A411" s="71">
        <v>46384.0</v>
      </c>
      <c r="B411" s="74">
        <v>0.1</v>
      </c>
      <c r="C411" s="75">
        <v>0.1</v>
      </c>
      <c r="D411" s="76">
        <v>0.05</v>
      </c>
      <c r="E411" s="77">
        <v>3.0</v>
      </c>
      <c r="F411" s="78">
        <v>1000.0</v>
      </c>
      <c r="G411" s="79">
        <f t="shared" si="90"/>
        <v>0</v>
      </c>
      <c r="H411" s="80">
        <f t="shared" si="91"/>
        <v>0</v>
      </c>
      <c r="I411" s="81">
        <f t="shared" si="92"/>
        <v>0</v>
      </c>
      <c r="J411" s="82"/>
      <c r="K411" s="83"/>
      <c r="L411" s="84">
        <f t="shared" si="93"/>
        <v>0</v>
      </c>
      <c r="M411" s="65"/>
      <c r="N411" s="65"/>
      <c r="O411" s="65"/>
      <c r="P411" s="65"/>
      <c r="Q411" s="65"/>
      <c r="R411" s="65"/>
      <c r="S411" s="65"/>
      <c r="T411" s="65"/>
      <c r="U411" s="65"/>
      <c r="V411" s="65"/>
      <c r="W411" s="65"/>
      <c r="X411" s="65"/>
      <c r="Y411" s="65"/>
      <c r="Z411" s="66"/>
      <c r="AA411" s="66"/>
      <c r="AB411" s="66"/>
    </row>
    <row r="412" hidden="1" outlineLevel="1">
      <c r="A412" s="71">
        <v>46385.0</v>
      </c>
      <c r="B412" s="74">
        <v>0.1</v>
      </c>
      <c r="C412" s="75">
        <v>0.1</v>
      </c>
      <c r="D412" s="76">
        <v>0.05</v>
      </c>
      <c r="E412" s="77">
        <v>3.0</v>
      </c>
      <c r="F412" s="78">
        <v>1000.0</v>
      </c>
      <c r="G412" s="79">
        <f t="shared" si="90"/>
        <v>0</v>
      </c>
      <c r="H412" s="80">
        <f t="shared" si="91"/>
        <v>0</v>
      </c>
      <c r="I412" s="81">
        <f t="shared" si="92"/>
        <v>0</v>
      </c>
      <c r="J412" s="82"/>
      <c r="K412" s="83"/>
      <c r="L412" s="84">
        <f t="shared" si="93"/>
        <v>0</v>
      </c>
      <c r="M412" s="65"/>
      <c r="N412" s="65"/>
      <c r="O412" s="65"/>
      <c r="P412" s="65"/>
      <c r="Q412" s="65"/>
      <c r="R412" s="65"/>
      <c r="S412" s="65"/>
      <c r="T412" s="65"/>
      <c r="U412" s="65"/>
      <c r="V412" s="65"/>
      <c r="W412" s="65"/>
      <c r="X412" s="65"/>
      <c r="Y412" s="65"/>
      <c r="Z412" s="66"/>
      <c r="AA412" s="66"/>
      <c r="AB412" s="66"/>
    </row>
    <row r="413" hidden="1" outlineLevel="1">
      <c r="A413" s="71">
        <v>46386.0</v>
      </c>
      <c r="B413" s="74">
        <v>0.1</v>
      </c>
      <c r="C413" s="75">
        <v>0.1</v>
      </c>
      <c r="D413" s="76">
        <v>0.05</v>
      </c>
      <c r="E413" s="77">
        <v>3.0</v>
      </c>
      <c r="F413" s="78">
        <v>1000.0</v>
      </c>
      <c r="G413" s="79">
        <f t="shared" si="90"/>
        <v>0</v>
      </c>
      <c r="H413" s="80">
        <f t="shared" si="91"/>
        <v>0</v>
      </c>
      <c r="I413" s="81">
        <f t="shared" si="92"/>
        <v>0</v>
      </c>
      <c r="J413" s="82"/>
      <c r="K413" s="83"/>
      <c r="L413" s="84">
        <f t="shared" si="93"/>
        <v>0</v>
      </c>
      <c r="M413" s="65"/>
      <c r="N413" s="65"/>
      <c r="O413" s="65"/>
      <c r="P413" s="65"/>
      <c r="Q413" s="65"/>
      <c r="R413" s="65"/>
      <c r="S413" s="65"/>
      <c r="T413" s="65"/>
      <c r="U413" s="65"/>
      <c r="V413" s="65"/>
      <c r="W413" s="65"/>
      <c r="X413" s="65"/>
      <c r="Y413" s="65"/>
      <c r="Z413" s="66"/>
      <c r="AA413" s="66"/>
      <c r="AB413" s="66"/>
    </row>
    <row r="414" hidden="1" outlineLevel="1">
      <c r="A414" s="71">
        <v>46387.0</v>
      </c>
      <c r="B414" s="74">
        <v>0.1</v>
      </c>
      <c r="C414" s="75">
        <v>0.1</v>
      </c>
      <c r="D414" s="76">
        <v>0.05</v>
      </c>
      <c r="E414" s="77">
        <v>3.0</v>
      </c>
      <c r="F414" s="78">
        <v>1000.0</v>
      </c>
      <c r="G414" s="79">
        <f t="shared" si="90"/>
        <v>0</v>
      </c>
      <c r="H414" s="80">
        <f t="shared" si="91"/>
        <v>0</v>
      </c>
      <c r="I414" s="81">
        <f t="shared" si="92"/>
        <v>0</v>
      </c>
      <c r="J414" s="82"/>
      <c r="K414" s="83"/>
      <c r="L414" s="84">
        <f t="shared" si="93"/>
        <v>0</v>
      </c>
      <c r="M414" s="65"/>
      <c r="N414" s="65"/>
      <c r="O414" s="65"/>
      <c r="P414" s="65"/>
      <c r="Q414" s="65"/>
      <c r="R414" s="65"/>
      <c r="S414" s="65"/>
      <c r="T414" s="65"/>
      <c r="U414" s="65"/>
      <c r="V414" s="65"/>
      <c r="W414" s="65"/>
      <c r="X414" s="65"/>
      <c r="Y414" s="65"/>
      <c r="Z414" s="66"/>
      <c r="AA414" s="66"/>
      <c r="AB414" s="66"/>
    </row>
    <row r="415" hidden="1" outlineLevel="1">
      <c r="A415" s="85" t="s">
        <v>41</v>
      </c>
      <c r="C415" s="86">
        <f>SUM(C384:C414)</f>
        <v>3.1</v>
      </c>
      <c r="D415" s="87"/>
      <c r="E415" s="87"/>
      <c r="F415" s="87"/>
      <c r="G415" s="87"/>
      <c r="H415" s="87"/>
      <c r="I415" s="88">
        <f t="shared" ref="I415:K415" si="94">SUM(I384:I414)</f>
        <v>0</v>
      </c>
      <c r="J415" s="89">
        <f t="shared" si="94"/>
        <v>0</v>
      </c>
      <c r="K415" s="87">
        <f t="shared" si="94"/>
        <v>0</v>
      </c>
      <c r="L415" s="89">
        <f>L414</f>
        <v>0</v>
      </c>
      <c r="M415" s="65"/>
      <c r="N415" s="65"/>
      <c r="O415" s="65"/>
      <c r="P415" s="65"/>
      <c r="Q415" s="65"/>
      <c r="R415" s="65"/>
      <c r="S415" s="65"/>
      <c r="T415" s="65"/>
      <c r="U415" s="65"/>
      <c r="V415" s="65"/>
      <c r="W415" s="65"/>
      <c r="X415" s="65"/>
      <c r="Y415" s="65"/>
      <c r="Z415" s="66"/>
      <c r="AA415" s="66"/>
      <c r="AB415" s="66"/>
    </row>
    <row r="416">
      <c r="A416" s="95"/>
      <c r="B416" s="92"/>
      <c r="C416" s="92"/>
      <c r="D416" s="92"/>
      <c r="E416" s="92"/>
      <c r="F416" s="92"/>
      <c r="G416" s="92"/>
      <c r="H416" s="92"/>
      <c r="I416" s="92"/>
      <c r="J416" s="92"/>
      <c r="K416" s="94">
        <f>SUM(K384:K414)</f>
        <v>0</v>
      </c>
      <c r="L416" s="92"/>
      <c r="M416" s="65"/>
      <c r="N416" s="65"/>
      <c r="O416" s="65"/>
      <c r="P416" s="65"/>
      <c r="Q416" s="65"/>
      <c r="R416" s="65"/>
      <c r="S416" s="65"/>
      <c r="T416" s="65"/>
      <c r="U416" s="65"/>
      <c r="V416" s="65"/>
      <c r="W416" s="65"/>
      <c r="X416" s="65"/>
      <c r="Y416" s="65"/>
      <c r="Z416" s="66"/>
      <c r="AA416" s="66"/>
      <c r="AB416" s="66"/>
    </row>
    <row r="417">
      <c r="A417" s="95"/>
      <c r="B417" s="95"/>
      <c r="C417" s="95"/>
      <c r="D417" s="95"/>
      <c r="E417" s="95"/>
      <c r="F417" s="95"/>
      <c r="G417" s="95"/>
      <c r="H417" s="95"/>
      <c r="I417" s="95"/>
      <c r="J417" s="95"/>
      <c r="K417" s="95"/>
      <c r="L417" s="95"/>
      <c r="M417" s="95"/>
      <c r="N417" s="95"/>
      <c r="O417" s="65"/>
      <c r="P417" s="65"/>
      <c r="Q417" s="65"/>
      <c r="R417" s="65"/>
      <c r="S417" s="65"/>
      <c r="T417" s="65"/>
      <c r="U417" s="65"/>
      <c r="V417" s="65"/>
      <c r="W417" s="65"/>
      <c r="X417" s="65"/>
      <c r="Y417" s="65"/>
      <c r="Z417" s="66"/>
      <c r="AA417" s="66"/>
      <c r="AB417" s="66"/>
    </row>
    <row r="418">
      <c r="A418" s="95"/>
      <c r="B418" s="95"/>
      <c r="C418" s="95"/>
      <c r="D418" s="95"/>
      <c r="E418" s="95"/>
      <c r="F418" s="95"/>
      <c r="G418" s="95"/>
      <c r="H418" s="95"/>
      <c r="I418" s="95"/>
      <c r="J418" s="95"/>
      <c r="K418" s="95"/>
      <c r="L418" s="95"/>
      <c r="M418" s="95"/>
      <c r="N418" s="95"/>
      <c r="O418" s="65"/>
      <c r="P418" s="65"/>
      <c r="Q418" s="65"/>
      <c r="R418" s="65"/>
      <c r="S418" s="65"/>
      <c r="T418" s="65"/>
      <c r="U418" s="65"/>
      <c r="V418" s="65"/>
      <c r="W418" s="65"/>
      <c r="X418" s="65"/>
      <c r="Y418" s="65"/>
      <c r="Z418" s="66"/>
      <c r="AA418" s="66"/>
      <c r="AB418" s="66"/>
    </row>
    <row r="419">
      <c r="A419" s="95"/>
      <c r="B419" s="95"/>
      <c r="C419" s="95"/>
      <c r="D419" s="95"/>
      <c r="E419" s="95"/>
      <c r="F419" s="95"/>
      <c r="G419" s="95"/>
      <c r="H419" s="95"/>
      <c r="I419" s="95"/>
      <c r="J419" s="95"/>
      <c r="K419" s="95"/>
      <c r="L419" s="95"/>
      <c r="M419" s="95"/>
      <c r="N419" s="95"/>
      <c r="O419" s="65"/>
      <c r="P419" s="65"/>
      <c r="Q419" s="65"/>
      <c r="R419" s="65"/>
      <c r="S419" s="65"/>
      <c r="T419" s="65"/>
      <c r="U419" s="65"/>
      <c r="V419" s="65"/>
      <c r="W419" s="65"/>
      <c r="X419" s="65"/>
      <c r="Y419" s="65"/>
      <c r="Z419" s="66"/>
      <c r="AA419" s="66"/>
      <c r="AB419" s="66"/>
    </row>
    <row r="420">
      <c r="A420" s="95"/>
      <c r="B420" s="95"/>
      <c r="C420" s="95"/>
      <c r="D420" s="95"/>
      <c r="E420" s="95"/>
      <c r="F420" s="95"/>
      <c r="G420" s="95"/>
      <c r="H420" s="95"/>
      <c r="I420" s="95"/>
      <c r="J420" s="95"/>
      <c r="K420" s="95"/>
      <c r="L420" s="95"/>
      <c r="M420" s="95"/>
      <c r="N420" s="95"/>
      <c r="O420" s="65"/>
      <c r="P420" s="65"/>
      <c r="Q420" s="65"/>
      <c r="R420" s="65"/>
      <c r="S420" s="65"/>
      <c r="T420" s="65"/>
      <c r="U420" s="65"/>
      <c r="V420" s="65"/>
      <c r="W420" s="65"/>
      <c r="X420" s="65"/>
      <c r="Y420" s="65"/>
      <c r="Z420" s="66"/>
      <c r="AA420" s="66"/>
      <c r="AB420" s="66"/>
    </row>
    <row r="421">
      <c r="A421" s="95"/>
      <c r="B421" s="95"/>
      <c r="C421" s="95"/>
      <c r="D421" s="95"/>
      <c r="E421" s="95"/>
      <c r="F421" s="95"/>
      <c r="G421" s="95"/>
      <c r="H421" s="95"/>
      <c r="I421" s="95"/>
      <c r="J421" s="95"/>
      <c r="K421" s="95"/>
      <c r="L421" s="95"/>
      <c r="M421" s="95"/>
      <c r="N421" s="95"/>
      <c r="O421" s="65"/>
      <c r="P421" s="65"/>
      <c r="Q421" s="65"/>
      <c r="R421" s="65"/>
      <c r="S421" s="65"/>
      <c r="T421" s="65"/>
      <c r="U421" s="65"/>
      <c r="V421" s="65"/>
      <c r="W421" s="65"/>
      <c r="X421" s="65"/>
      <c r="Y421" s="65"/>
      <c r="Z421" s="66"/>
      <c r="AA421" s="66"/>
      <c r="AB421" s="66"/>
    </row>
  </sheetData>
  <mergeCells count="32">
    <mergeCell ref="A3:L3"/>
    <mergeCell ref="A4:L4"/>
    <mergeCell ref="B1:C1"/>
    <mergeCell ref="D1:D2"/>
    <mergeCell ref="E1:E2"/>
    <mergeCell ref="F1:G2"/>
    <mergeCell ref="H1:H2"/>
    <mergeCell ref="I1:I2"/>
    <mergeCell ref="B2:C2"/>
    <mergeCell ref="A37:B37"/>
    <mergeCell ref="A39:L39"/>
    <mergeCell ref="A69:B69"/>
    <mergeCell ref="A71:L71"/>
    <mergeCell ref="A104:B104"/>
    <mergeCell ref="A106:L106"/>
    <mergeCell ref="A140:L140"/>
    <mergeCell ref="A138:B138"/>
    <mergeCell ref="A173:B173"/>
    <mergeCell ref="A175:L175"/>
    <mergeCell ref="A207:B207"/>
    <mergeCell ref="A209:L209"/>
    <mergeCell ref="A242:B242"/>
    <mergeCell ref="A244:L244"/>
    <mergeCell ref="A380:B380"/>
    <mergeCell ref="A415:B415"/>
    <mergeCell ref="A277:B277"/>
    <mergeCell ref="A279:L279"/>
    <mergeCell ref="A311:B311"/>
    <mergeCell ref="A313:L313"/>
    <mergeCell ref="A346:B346"/>
    <mergeCell ref="A348:L348"/>
    <mergeCell ref="A382:L382"/>
  </mergeCells>
  <conditionalFormatting sqref="C6:I36 C41:I68 C73:I103 C108:I137 C142:I172 C177:I206 C211:I241 C246:I276 C281:I310 C315:I345 C350:I379 C384:I414">
    <cfRule type="expression" dxfId="6" priority="1">
      <formula>$I6=0</formula>
    </cfRule>
  </conditionalFormatting>
  <conditionalFormatting sqref="C6:I36 C41:I68 C73:I103 C108:I137 C142:I172 C177:I206 C211:I241 C246:I276 C281:I310 C315:I345 C350:I379 C384:I414">
    <cfRule type="expression" dxfId="7" priority="2">
      <formula>$I6&gt;10</formula>
    </cfRule>
  </conditionalFormatting>
  <conditionalFormatting sqref="C6:I36 C41:I68 C73:I103 C108:I137 C142:I172 C177:I206 C211:I241 C246:I276 C281:I310 C315:I345 C350:I379 C384:I414">
    <cfRule type="expression" dxfId="4" priority="3">
      <formula>$I6=10</formula>
    </cfRule>
  </conditionalFormatting>
  <conditionalFormatting sqref="C6:I36 C41:I68 C73:I103 C108:I137 C142:I172 C177:I206 C211:I241 C246:I276 C281:I310 C315:I345 C350:I379 C384:I414">
    <cfRule type="expression" dxfId="8" priority="4">
      <formula>$I6&gt;=0</formula>
    </cfRule>
  </conditionalFormatting>
  <conditionalFormatting sqref="C6:I36 C41:I68 C73:I103 C108:I137 C142:I172 C177:I206 C211:I241 C246:I276 C281:I310 C315:I345 C350:I379 C384:I414">
    <cfRule type="expression" dxfId="9" priority="5">
      <formula>$I6&lt;-5</formula>
    </cfRule>
  </conditionalFormatting>
  <conditionalFormatting sqref="C6:I36 C41:I68 C73:I103 C108:I137 C142:I172 C177:I206 C211:I241 C246:I276 C281:I310 C315:I345 C350:I379 C384:I414">
    <cfRule type="expression" dxfId="10" priority="6">
      <formula>$I6=-5</formula>
    </cfRule>
  </conditionalFormatting>
  <conditionalFormatting sqref="C6:I36 C41:I68 C73:I103 C108:I137 C142:I172 C177:I206 C211:I241 C246:I276 C281:I310 C315:I345 C350:I379 C384:I414">
    <cfRule type="expression" dxfId="5" priority="7">
      <formula>$I6&gt;=-1</formula>
    </cfRule>
  </conditionalFormatting>
  <conditionalFormatting sqref="J6">
    <cfRule type="notContainsBlanks" dxfId="11" priority="8">
      <formula>LEN(TRIM(J6))&gt;0</formula>
    </cfRule>
  </conditionalFormatting>
  <conditionalFormatting sqref="C6:I36 C41:I68 C73:I103 C108:I137 C142:I172 C177:I206 C211:I241 C246:I276 C281:I310 C315:I345 C350:I379 C384:I414">
    <cfRule type="expression" dxfId="5" priority="9">
      <formula>$I6&lt;-1</formula>
    </cfRule>
  </conditionalFormatting>
  <conditionalFormatting sqref="C6:I36 C41:I68 C73:I103 C108:I137 C142:I172 C177:I206 C211:I241 C246:I276 C281:I310 C315:I345 C350:I379 C384:I414">
    <cfRule type="expression" dxfId="5" priority="10">
      <formula>$I6&lt;-1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75" outlineLevelRow="1"/>
  <cols>
    <col customWidth="1" min="1" max="1" width="14.44"/>
    <col customWidth="1" min="2" max="2" width="12.33"/>
    <col customWidth="1" min="3" max="6" width="14.33"/>
    <col customWidth="1" min="7" max="7" width="11.67"/>
    <col customWidth="1" min="8" max="8" width="10.78"/>
    <col customWidth="1" min="9" max="9" width="21.56"/>
    <col customWidth="1" min="10" max="10" width="14.0"/>
    <col customWidth="1" min="11" max="11" width="14.89"/>
    <col customWidth="1" min="12" max="12" width="16.0"/>
  </cols>
  <sheetData>
    <row r="1">
      <c r="A1" s="57" t="s">
        <v>23</v>
      </c>
      <c r="B1" s="97">
        <v>50.0</v>
      </c>
      <c r="D1" s="57" t="s">
        <v>24</v>
      </c>
      <c r="E1" s="59">
        <f>(F1/B1)*100</f>
        <v>0</v>
      </c>
      <c r="F1" s="98">
        <f>L415-B1</f>
        <v>0</v>
      </c>
      <c r="G1" s="61"/>
      <c r="H1" s="64"/>
      <c r="I1" s="64"/>
      <c r="J1" s="64"/>
      <c r="K1" s="64"/>
      <c r="L1" s="64"/>
      <c r="M1" s="65"/>
      <c r="N1" s="65"/>
      <c r="O1" s="65"/>
      <c r="P1" s="65"/>
      <c r="Q1" s="65"/>
      <c r="R1" s="65"/>
      <c r="S1" s="65"/>
      <c r="T1" s="65"/>
      <c r="U1" s="65"/>
      <c r="V1" s="65"/>
      <c r="W1" s="65"/>
      <c r="X1" s="65"/>
      <c r="Y1" s="65"/>
      <c r="Z1" s="66"/>
      <c r="AA1" s="66"/>
      <c r="AB1" s="66"/>
    </row>
    <row r="2">
      <c r="A2" s="57" t="s">
        <v>26</v>
      </c>
      <c r="B2" s="99">
        <v>500.0</v>
      </c>
      <c r="G2" s="61"/>
      <c r="H2" s="69"/>
      <c r="I2" s="69"/>
      <c r="J2" s="69"/>
      <c r="K2" s="69"/>
      <c r="L2" s="69"/>
      <c r="M2" s="65"/>
      <c r="N2" s="65"/>
      <c r="O2" s="65"/>
      <c r="P2" s="65"/>
      <c r="Q2" s="65"/>
      <c r="R2" s="65"/>
      <c r="S2" s="65"/>
      <c r="T2" s="65"/>
      <c r="U2" s="65"/>
      <c r="V2" s="65"/>
      <c r="W2" s="65"/>
      <c r="X2" s="65"/>
      <c r="Y2" s="65"/>
      <c r="Z2" s="66"/>
      <c r="AA2" s="66"/>
      <c r="AB2" s="66"/>
    </row>
    <row r="3">
      <c r="A3" s="57" t="s">
        <v>54</v>
      </c>
      <c r="M3" s="70"/>
      <c r="N3" s="65"/>
      <c r="O3" s="65"/>
      <c r="P3" s="65"/>
      <c r="Q3" s="65"/>
      <c r="R3" s="65"/>
      <c r="S3" s="65"/>
      <c r="T3" s="65"/>
      <c r="U3" s="65"/>
      <c r="V3" s="65"/>
      <c r="W3" s="65"/>
      <c r="X3" s="65"/>
      <c r="Y3" s="65"/>
      <c r="Z3" s="66"/>
      <c r="AA3" s="66"/>
      <c r="AB3" s="66"/>
    </row>
    <row r="4" collapsed="1">
      <c r="A4" s="57" t="s">
        <v>28</v>
      </c>
      <c r="M4" s="70"/>
      <c r="N4" s="65"/>
      <c r="O4" s="65"/>
      <c r="P4" s="65"/>
      <c r="Q4" s="65"/>
      <c r="R4" s="65"/>
      <c r="S4" s="65"/>
      <c r="T4" s="65"/>
      <c r="U4" s="65"/>
      <c r="V4" s="65"/>
      <c r="W4" s="65"/>
      <c r="X4" s="65"/>
      <c r="Y4" s="65"/>
      <c r="Z4" s="66"/>
      <c r="AA4" s="66"/>
      <c r="AB4" s="66"/>
    </row>
    <row r="5" hidden="1" outlineLevel="1">
      <c r="A5" s="71" t="s">
        <v>29</v>
      </c>
      <c r="B5" s="57" t="s">
        <v>30</v>
      </c>
      <c r="C5" s="57" t="s">
        <v>31</v>
      </c>
      <c r="D5" s="72" t="s">
        <v>32</v>
      </c>
      <c r="E5" s="72" t="s">
        <v>33</v>
      </c>
      <c r="F5" s="72" t="s">
        <v>34</v>
      </c>
      <c r="G5" s="73" t="s">
        <v>35</v>
      </c>
      <c r="H5" s="72" t="s">
        <v>36</v>
      </c>
      <c r="I5" s="57" t="s">
        <v>37</v>
      </c>
      <c r="J5" s="74" t="s">
        <v>38</v>
      </c>
      <c r="K5" s="57" t="s">
        <v>39</v>
      </c>
      <c r="L5" s="57" t="s">
        <v>40</v>
      </c>
      <c r="M5" s="70"/>
      <c r="N5" s="65"/>
      <c r="O5" s="65"/>
      <c r="P5" s="65"/>
      <c r="Q5" s="65"/>
      <c r="R5" s="65"/>
      <c r="S5" s="65"/>
      <c r="T5" s="65"/>
      <c r="U5" s="65"/>
      <c r="V5" s="65"/>
      <c r="W5" s="65"/>
      <c r="X5" s="65"/>
      <c r="Y5" s="65"/>
      <c r="Z5" s="66"/>
      <c r="AA5" s="66"/>
      <c r="AB5" s="66"/>
    </row>
    <row r="6" hidden="1" outlineLevel="1">
      <c r="A6" s="71">
        <v>46388.0</v>
      </c>
      <c r="B6" s="74">
        <v>0.1</v>
      </c>
      <c r="C6" s="75">
        <v>0.1</v>
      </c>
      <c r="D6" s="76">
        <v>0.05</v>
      </c>
      <c r="E6" s="77">
        <v>3.0</v>
      </c>
      <c r="F6" s="78">
        <v>1000.0</v>
      </c>
      <c r="G6" s="79">
        <f>B1*C6</f>
        <v>5</v>
      </c>
      <c r="H6" s="80">
        <f>B1*D6</f>
        <v>2.5</v>
      </c>
      <c r="I6" s="81">
        <f>(J6/B1)*100</f>
        <v>0</v>
      </c>
      <c r="J6" s="82"/>
      <c r="K6" s="83"/>
      <c r="L6" s="84">
        <f>(B1+J6)-K6</f>
        <v>50</v>
      </c>
      <c r="M6" s="70"/>
      <c r="N6" s="65"/>
      <c r="O6" s="65"/>
      <c r="P6" s="65"/>
      <c r="Q6" s="65"/>
      <c r="R6" s="65"/>
      <c r="S6" s="65"/>
      <c r="T6" s="65"/>
      <c r="U6" s="65"/>
      <c r="V6" s="65"/>
      <c r="W6" s="65"/>
      <c r="X6" s="65"/>
      <c r="Y6" s="65"/>
      <c r="Z6" s="66"/>
      <c r="AA6" s="66"/>
      <c r="AB6" s="66"/>
    </row>
    <row r="7" hidden="1" outlineLevel="1">
      <c r="A7" s="71"/>
      <c r="B7" s="74"/>
      <c r="C7" s="75"/>
      <c r="D7" s="76"/>
      <c r="E7" s="77"/>
      <c r="F7" s="78"/>
      <c r="G7" s="79"/>
      <c r="H7" s="80"/>
      <c r="I7" s="81"/>
      <c r="J7" s="82"/>
      <c r="K7" s="83"/>
      <c r="L7" s="84">
        <f t="shared" ref="L7:L36" si="1">(L6+J7)-K7</f>
        <v>50</v>
      </c>
      <c r="M7" s="70"/>
      <c r="N7" s="65"/>
      <c r="O7" s="65"/>
      <c r="P7" s="65"/>
      <c r="Q7" s="65"/>
      <c r="R7" s="65"/>
      <c r="S7" s="65"/>
      <c r="T7" s="65"/>
      <c r="U7" s="65"/>
      <c r="V7" s="65"/>
      <c r="W7" s="65"/>
      <c r="X7" s="65"/>
      <c r="Y7" s="65"/>
      <c r="Z7" s="66"/>
      <c r="AA7" s="66"/>
      <c r="AB7" s="66"/>
    </row>
    <row r="8" hidden="1" outlineLevel="1">
      <c r="A8" s="71"/>
      <c r="B8" s="74"/>
      <c r="C8" s="75"/>
      <c r="D8" s="76"/>
      <c r="E8" s="77"/>
      <c r="F8" s="78"/>
      <c r="G8" s="79"/>
      <c r="H8" s="80"/>
      <c r="I8" s="81"/>
      <c r="J8" s="82"/>
      <c r="K8" s="83"/>
      <c r="L8" s="84">
        <f t="shared" si="1"/>
        <v>50</v>
      </c>
      <c r="M8" s="70"/>
      <c r="N8" s="65"/>
      <c r="O8" s="65"/>
      <c r="P8" s="65"/>
      <c r="Q8" s="65"/>
      <c r="R8" s="65"/>
      <c r="S8" s="65"/>
      <c r="T8" s="65"/>
      <c r="U8" s="65"/>
      <c r="V8" s="65"/>
      <c r="W8" s="65"/>
      <c r="X8" s="65"/>
      <c r="Y8" s="65"/>
      <c r="Z8" s="66"/>
      <c r="AA8" s="66"/>
      <c r="AB8" s="66"/>
    </row>
    <row r="9" hidden="1" outlineLevel="1">
      <c r="A9" s="71">
        <v>46391.0</v>
      </c>
      <c r="B9" s="74">
        <v>0.1</v>
      </c>
      <c r="C9" s="75">
        <v>0.1</v>
      </c>
      <c r="D9" s="76">
        <v>0.05</v>
      </c>
      <c r="E9" s="77">
        <v>3.0</v>
      </c>
      <c r="F9" s="78">
        <v>1000.0</v>
      </c>
      <c r="G9" s="79">
        <f t="shared" ref="G9:G13" si="2">L8*C9</f>
        <v>5</v>
      </c>
      <c r="H9" s="80">
        <f t="shared" ref="H9:H13" si="3">L8*D9</f>
        <v>2.5</v>
      </c>
      <c r="I9" s="81">
        <f t="shared" ref="I9:I13" si="4">(J9/L8)*100</f>
        <v>0</v>
      </c>
      <c r="J9" s="82"/>
      <c r="K9" s="83"/>
      <c r="L9" s="84">
        <f t="shared" si="1"/>
        <v>50</v>
      </c>
      <c r="M9" s="70"/>
      <c r="N9" s="65"/>
      <c r="O9" s="65"/>
      <c r="P9" s="65"/>
      <c r="Q9" s="65"/>
      <c r="R9" s="65"/>
      <c r="S9" s="65"/>
      <c r="T9" s="65"/>
      <c r="U9" s="65"/>
      <c r="V9" s="65"/>
      <c r="W9" s="65"/>
      <c r="X9" s="65"/>
      <c r="Y9" s="65"/>
      <c r="Z9" s="66"/>
      <c r="AA9" s="66"/>
      <c r="AB9" s="66"/>
    </row>
    <row r="10" hidden="1" outlineLevel="1">
      <c r="A10" s="71">
        <v>46392.0</v>
      </c>
      <c r="B10" s="74">
        <v>0.1</v>
      </c>
      <c r="C10" s="75">
        <v>0.1</v>
      </c>
      <c r="D10" s="76">
        <v>0.05</v>
      </c>
      <c r="E10" s="77">
        <v>3.0</v>
      </c>
      <c r="F10" s="78">
        <v>1000.0</v>
      </c>
      <c r="G10" s="79">
        <f t="shared" si="2"/>
        <v>5</v>
      </c>
      <c r="H10" s="80">
        <f t="shared" si="3"/>
        <v>2.5</v>
      </c>
      <c r="I10" s="81">
        <f t="shared" si="4"/>
        <v>0</v>
      </c>
      <c r="J10" s="82"/>
      <c r="K10" s="83"/>
      <c r="L10" s="84">
        <f t="shared" si="1"/>
        <v>50</v>
      </c>
      <c r="M10" s="70"/>
      <c r="N10" s="65"/>
      <c r="O10" s="65"/>
      <c r="P10" s="65"/>
      <c r="Q10" s="65"/>
      <c r="R10" s="65"/>
      <c r="S10" s="65"/>
      <c r="T10" s="65"/>
      <c r="U10" s="65"/>
      <c r="V10" s="65"/>
      <c r="W10" s="65"/>
      <c r="X10" s="65"/>
      <c r="Y10" s="65"/>
      <c r="Z10" s="66"/>
      <c r="AA10" s="66"/>
      <c r="AB10" s="66"/>
    </row>
    <row r="11" hidden="1" outlineLevel="1">
      <c r="A11" s="71">
        <v>46393.0</v>
      </c>
      <c r="B11" s="74">
        <v>0.1</v>
      </c>
      <c r="C11" s="75">
        <v>0.1</v>
      </c>
      <c r="D11" s="76">
        <v>0.05</v>
      </c>
      <c r="E11" s="77">
        <v>3.0</v>
      </c>
      <c r="F11" s="78">
        <v>1000.0</v>
      </c>
      <c r="G11" s="79">
        <f t="shared" si="2"/>
        <v>5</v>
      </c>
      <c r="H11" s="80">
        <f t="shared" si="3"/>
        <v>2.5</v>
      </c>
      <c r="I11" s="81">
        <f t="shared" si="4"/>
        <v>0</v>
      </c>
      <c r="J11" s="82"/>
      <c r="K11" s="83"/>
      <c r="L11" s="84">
        <f t="shared" si="1"/>
        <v>50</v>
      </c>
      <c r="M11" s="70"/>
      <c r="N11" s="65"/>
      <c r="O11" s="65"/>
      <c r="P11" s="65"/>
      <c r="Q11" s="65"/>
      <c r="R11" s="65"/>
      <c r="S11" s="65"/>
      <c r="T11" s="65"/>
      <c r="U11" s="65"/>
      <c r="V11" s="65"/>
      <c r="W11" s="65"/>
      <c r="X11" s="65"/>
      <c r="Y11" s="65"/>
      <c r="Z11" s="66"/>
      <c r="AA11" s="66"/>
      <c r="AB11" s="66"/>
    </row>
    <row r="12" hidden="1" outlineLevel="1">
      <c r="A12" s="71">
        <v>46394.0</v>
      </c>
      <c r="B12" s="74">
        <v>0.1</v>
      </c>
      <c r="C12" s="75">
        <v>0.1</v>
      </c>
      <c r="D12" s="76">
        <v>0.05</v>
      </c>
      <c r="E12" s="77">
        <v>3.0</v>
      </c>
      <c r="F12" s="78">
        <v>1000.0</v>
      </c>
      <c r="G12" s="79">
        <f t="shared" si="2"/>
        <v>5</v>
      </c>
      <c r="H12" s="80">
        <f t="shared" si="3"/>
        <v>2.5</v>
      </c>
      <c r="I12" s="81">
        <f t="shared" si="4"/>
        <v>0</v>
      </c>
      <c r="J12" s="82"/>
      <c r="K12" s="83"/>
      <c r="L12" s="84">
        <f t="shared" si="1"/>
        <v>50</v>
      </c>
      <c r="M12" s="70"/>
      <c r="N12" s="65"/>
      <c r="O12" s="65"/>
      <c r="P12" s="65"/>
      <c r="Q12" s="65"/>
      <c r="R12" s="65"/>
      <c r="S12" s="65"/>
      <c r="T12" s="65"/>
      <c r="U12" s="65"/>
      <c r="V12" s="65"/>
      <c r="W12" s="65"/>
      <c r="X12" s="65"/>
      <c r="Y12" s="65"/>
      <c r="Z12" s="66"/>
      <c r="AA12" s="66"/>
      <c r="AB12" s="66"/>
    </row>
    <row r="13" hidden="1" outlineLevel="1">
      <c r="A13" s="71">
        <v>46395.0</v>
      </c>
      <c r="B13" s="74">
        <v>0.1</v>
      </c>
      <c r="C13" s="75">
        <v>0.1</v>
      </c>
      <c r="D13" s="76">
        <v>0.05</v>
      </c>
      <c r="E13" s="77">
        <v>3.0</v>
      </c>
      <c r="F13" s="78">
        <v>1000.0</v>
      </c>
      <c r="G13" s="79">
        <f t="shared" si="2"/>
        <v>5</v>
      </c>
      <c r="H13" s="80">
        <f t="shared" si="3"/>
        <v>2.5</v>
      </c>
      <c r="I13" s="81">
        <f t="shared" si="4"/>
        <v>0</v>
      </c>
      <c r="J13" s="82"/>
      <c r="K13" s="83"/>
      <c r="L13" s="84">
        <f t="shared" si="1"/>
        <v>50</v>
      </c>
      <c r="M13" s="70"/>
      <c r="N13" s="65"/>
      <c r="O13" s="65"/>
      <c r="P13" s="65"/>
      <c r="Q13" s="65"/>
      <c r="R13" s="65"/>
      <c r="S13" s="65"/>
      <c r="T13" s="65"/>
      <c r="U13" s="65"/>
      <c r="V13" s="65"/>
      <c r="W13" s="65"/>
      <c r="X13" s="65"/>
      <c r="Y13" s="65"/>
      <c r="Z13" s="66"/>
      <c r="AA13" s="66"/>
      <c r="AB13" s="66"/>
    </row>
    <row r="14" hidden="1" outlineLevel="1">
      <c r="A14" s="71"/>
      <c r="B14" s="74"/>
      <c r="C14" s="75"/>
      <c r="D14" s="76"/>
      <c r="E14" s="77"/>
      <c r="F14" s="78"/>
      <c r="G14" s="79"/>
      <c r="H14" s="80"/>
      <c r="I14" s="81"/>
      <c r="J14" s="82"/>
      <c r="K14" s="83"/>
      <c r="L14" s="84">
        <f t="shared" si="1"/>
        <v>50</v>
      </c>
      <c r="M14" s="70"/>
      <c r="N14" s="65"/>
      <c r="O14" s="65"/>
      <c r="P14" s="65"/>
      <c r="Q14" s="65"/>
      <c r="R14" s="65"/>
      <c r="S14" s="65"/>
      <c r="T14" s="65"/>
      <c r="U14" s="65"/>
      <c r="V14" s="65"/>
      <c r="W14" s="65"/>
      <c r="X14" s="65"/>
      <c r="Y14" s="65"/>
      <c r="Z14" s="66"/>
      <c r="AA14" s="66"/>
      <c r="AB14" s="66"/>
    </row>
    <row r="15" hidden="1" outlineLevel="1">
      <c r="A15" s="71"/>
      <c r="B15" s="74"/>
      <c r="C15" s="75"/>
      <c r="D15" s="76"/>
      <c r="E15" s="77"/>
      <c r="F15" s="78"/>
      <c r="G15" s="79"/>
      <c r="H15" s="80"/>
      <c r="I15" s="81"/>
      <c r="J15" s="82"/>
      <c r="K15" s="83"/>
      <c r="L15" s="84">
        <f t="shared" si="1"/>
        <v>50</v>
      </c>
      <c r="M15" s="70"/>
      <c r="N15" s="65"/>
      <c r="O15" s="65"/>
      <c r="P15" s="65"/>
      <c r="Q15" s="65"/>
      <c r="R15" s="65"/>
      <c r="S15" s="65"/>
      <c r="T15" s="65"/>
      <c r="U15" s="65"/>
      <c r="V15" s="65"/>
      <c r="W15" s="65"/>
      <c r="X15" s="65"/>
      <c r="Y15" s="65"/>
      <c r="Z15" s="66"/>
      <c r="AA15" s="66"/>
      <c r="AB15" s="66"/>
    </row>
    <row r="16" hidden="1" outlineLevel="1">
      <c r="A16" s="71">
        <v>46398.0</v>
      </c>
      <c r="B16" s="74">
        <v>0.1</v>
      </c>
      <c r="C16" s="75">
        <v>0.1</v>
      </c>
      <c r="D16" s="76">
        <v>0.05</v>
      </c>
      <c r="E16" s="77">
        <v>3.0</v>
      </c>
      <c r="F16" s="78">
        <v>1000.0</v>
      </c>
      <c r="G16" s="79">
        <f t="shared" ref="G16:G20" si="5">L15*C16</f>
        <v>5</v>
      </c>
      <c r="H16" s="80">
        <f t="shared" ref="H16:H20" si="6">L15*D16</f>
        <v>2.5</v>
      </c>
      <c r="I16" s="81">
        <f t="shared" ref="I16:I20" si="7">(J16/L15)*100</f>
        <v>0</v>
      </c>
      <c r="J16" s="82"/>
      <c r="K16" s="83"/>
      <c r="L16" s="84">
        <f t="shared" si="1"/>
        <v>50</v>
      </c>
      <c r="M16" s="70"/>
      <c r="N16" s="65"/>
      <c r="O16" s="65"/>
      <c r="P16" s="65"/>
      <c r="Q16" s="65"/>
      <c r="R16" s="65"/>
      <c r="S16" s="65"/>
      <c r="T16" s="65"/>
      <c r="U16" s="65"/>
      <c r="V16" s="65"/>
      <c r="W16" s="65"/>
      <c r="X16" s="65"/>
      <c r="Y16" s="65"/>
      <c r="Z16" s="66"/>
      <c r="AA16" s="66"/>
      <c r="AB16" s="66"/>
    </row>
    <row r="17" hidden="1" outlineLevel="1">
      <c r="A17" s="71">
        <v>46399.0</v>
      </c>
      <c r="B17" s="74">
        <v>0.1</v>
      </c>
      <c r="C17" s="75">
        <v>0.1</v>
      </c>
      <c r="D17" s="76">
        <v>0.05</v>
      </c>
      <c r="E17" s="77">
        <v>3.0</v>
      </c>
      <c r="F17" s="78">
        <v>1000.0</v>
      </c>
      <c r="G17" s="79">
        <f t="shared" si="5"/>
        <v>5</v>
      </c>
      <c r="H17" s="80">
        <f t="shared" si="6"/>
        <v>2.5</v>
      </c>
      <c r="I17" s="81">
        <f t="shared" si="7"/>
        <v>0</v>
      </c>
      <c r="J17" s="82"/>
      <c r="K17" s="83"/>
      <c r="L17" s="84">
        <f t="shared" si="1"/>
        <v>50</v>
      </c>
      <c r="M17" s="70"/>
      <c r="N17" s="65"/>
      <c r="O17" s="65"/>
      <c r="P17" s="65"/>
      <c r="Q17" s="65"/>
      <c r="R17" s="65"/>
      <c r="S17" s="65"/>
      <c r="T17" s="65"/>
      <c r="U17" s="65"/>
      <c r="V17" s="65"/>
      <c r="W17" s="65"/>
      <c r="X17" s="65"/>
      <c r="Y17" s="65"/>
      <c r="Z17" s="66"/>
      <c r="AA17" s="66"/>
      <c r="AB17" s="66"/>
    </row>
    <row r="18" hidden="1" outlineLevel="1">
      <c r="A18" s="71">
        <v>46400.0</v>
      </c>
      <c r="B18" s="74">
        <v>0.1</v>
      </c>
      <c r="C18" s="75">
        <v>0.1</v>
      </c>
      <c r="D18" s="76">
        <v>0.05</v>
      </c>
      <c r="E18" s="77">
        <v>3.0</v>
      </c>
      <c r="F18" s="78">
        <v>1000.0</v>
      </c>
      <c r="G18" s="79">
        <f t="shared" si="5"/>
        <v>5</v>
      </c>
      <c r="H18" s="80">
        <f t="shared" si="6"/>
        <v>2.5</v>
      </c>
      <c r="I18" s="81">
        <f t="shared" si="7"/>
        <v>0</v>
      </c>
      <c r="J18" s="82"/>
      <c r="K18" s="83"/>
      <c r="L18" s="84">
        <f t="shared" si="1"/>
        <v>50</v>
      </c>
      <c r="M18" s="70"/>
      <c r="N18" s="65"/>
      <c r="O18" s="65"/>
      <c r="P18" s="65"/>
      <c r="Q18" s="65"/>
      <c r="R18" s="65"/>
      <c r="S18" s="65"/>
      <c r="T18" s="65"/>
      <c r="U18" s="65"/>
      <c r="V18" s="65"/>
      <c r="W18" s="65"/>
      <c r="X18" s="65"/>
      <c r="Y18" s="65"/>
      <c r="Z18" s="66"/>
      <c r="AA18" s="66"/>
      <c r="AB18" s="66"/>
    </row>
    <row r="19" hidden="1" outlineLevel="1">
      <c r="A19" s="71">
        <v>46401.0</v>
      </c>
      <c r="B19" s="74">
        <v>0.1</v>
      </c>
      <c r="C19" s="75">
        <v>0.1</v>
      </c>
      <c r="D19" s="76">
        <v>0.05</v>
      </c>
      <c r="E19" s="77">
        <v>3.0</v>
      </c>
      <c r="F19" s="78">
        <v>1000.0</v>
      </c>
      <c r="G19" s="79">
        <f t="shared" si="5"/>
        <v>5</v>
      </c>
      <c r="H19" s="80">
        <f t="shared" si="6"/>
        <v>2.5</v>
      </c>
      <c r="I19" s="81">
        <f t="shared" si="7"/>
        <v>0</v>
      </c>
      <c r="J19" s="82"/>
      <c r="K19" s="83"/>
      <c r="L19" s="84">
        <f t="shared" si="1"/>
        <v>50</v>
      </c>
      <c r="M19" s="70"/>
      <c r="N19" s="65"/>
      <c r="O19" s="65"/>
      <c r="P19" s="65"/>
      <c r="Q19" s="65"/>
      <c r="R19" s="65"/>
      <c r="S19" s="65"/>
      <c r="T19" s="65"/>
      <c r="U19" s="65"/>
      <c r="V19" s="65"/>
      <c r="W19" s="65"/>
      <c r="X19" s="65"/>
      <c r="Y19" s="65"/>
      <c r="Z19" s="66"/>
      <c r="AA19" s="66"/>
      <c r="AB19" s="66"/>
    </row>
    <row r="20" hidden="1" outlineLevel="1">
      <c r="A20" s="71">
        <v>46402.0</v>
      </c>
      <c r="B20" s="74">
        <v>0.1</v>
      </c>
      <c r="C20" s="75">
        <v>0.1</v>
      </c>
      <c r="D20" s="76">
        <v>0.05</v>
      </c>
      <c r="E20" s="77">
        <v>3.0</v>
      </c>
      <c r="F20" s="78">
        <v>1000.0</v>
      </c>
      <c r="G20" s="79">
        <f t="shared" si="5"/>
        <v>5</v>
      </c>
      <c r="H20" s="80">
        <f t="shared" si="6"/>
        <v>2.5</v>
      </c>
      <c r="I20" s="81">
        <f t="shared" si="7"/>
        <v>0</v>
      </c>
      <c r="J20" s="82"/>
      <c r="K20" s="83"/>
      <c r="L20" s="84">
        <f t="shared" si="1"/>
        <v>50</v>
      </c>
      <c r="M20" s="70"/>
      <c r="N20" s="65"/>
      <c r="O20" s="65"/>
      <c r="P20" s="65"/>
      <c r="Q20" s="65"/>
      <c r="R20" s="65"/>
      <c r="S20" s="65"/>
      <c r="T20" s="65"/>
      <c r="U20" s="65"/>
      <c r="V20" s="65"/>
      <c r="W20" s="65"/>
      <c r="X20" s="65"/>
      <c r="Y20" s="65"/>
      <c r="Z20" s="66"/>
      <c r="AA20" s="66"/>
      <c r="AB20" s="66"/>
    </row>
    <row r="21" hidden="1" outlineLevel="1">
      <c r="A21" s="71"/>
      <c r="B21" s="74"/>
      <c r="C21" s="75"/>
      <c r="D21" s="76"/>
      <c r="E21" s="77"/>
      <c r="F21" s="78"/>
      <c r="G21" s="79"/>
      <c r="H21" s="80"/>
      <c r="I21" s="81"/>
      <c r="J21" s="82"/>
      <c r="K21" s="83"/>
      <c r="L21" s="84">
        <f t="shared" si="1"/>
        <v>50</v>
      </c>
      <c r="M21" s="70"/>
      <c r="N21" s="65"/>
      <c r="O21" s="65"/>
      <c r="P21" s="65"/>
      <c r="Q21" s="65"/>
      <c r="R21" s="65"/>
      <c r="S21" s="65"/>
      <c r="T21" s="65"/>
      <c r="U21" s="65"/>
      <c r="V21" s="65"/>
      <c r="W21" s="65"/>
      <c r="X21" s="65"/>
      <c r="Y21" s="65"/>
      <c r="Z21" s="66"/>
      <c r="AA21" s="66"/>
      <c r="AB21" s="66"/>
    </row>
    <row r="22" hidden="1" outlineLevel="1">
      <c r="A22" s="71"/>
      <c r="B22" s="74"/>
      <c r="C22" s="75"/>
      <c r="D22" s="76"/>
      <c r="E22" s="77"/>
      <c r="F22" s="78"/>
      <c r="G22" s="79"/>
      <c r="H22" s="80"/>
      <c r="I22" s="81"/>
      <c r="J22" s="82"/>
      <c r="K22" s="83"/>
      <c r="L22" s="84">
        <f t="shared" si="1"/>
        <v>50</v>
      </c>
      <c r="M22" s="70"/>
      <c r="N22" s="65"/>
      <c r="O22" s="65"/>
      <c r="P22" s="65"/>
      <c r="Q22" s="65"/>
      <c r="R22" s="65"/>
      <c r="S22" s="65"/>
      <c r="T22" s="65"/>
      <c r="U22" s="65"/>
      <c r="V22" s="65"/>
      <c r="W22" s="65"/>
      <c r="X22" s="65"/>
      <c r="Y22" s="65"/>
      <c r="Z22" s="66"/>
      <c r="AA22" s="66"/>
      <c r="AB22" s="66"/>
    </row>
    <row r="23" hidden="1" outlineLevel="1">
      <c r="A23" s="71">
        <v>46405.0</v>
      </c>
      <c r="B23" s="74">
        <v>0.1</v>
      </c>
      <c r="C23" s="75">
        <v>0.1</v>
      </c>
      <c r="D23" s="76">
        <v>0.05</v>
      </c>
      <c r="E23" s="77">
        <v>3.0</v>
      </c>
      <c r="F23" s="78">
        <v>1000.0</v>
      </c>
      <c r="G23" s="79">
        <f t="shared" ref="G23:G27" si="8">L22*C23</f>
        <v>5</v>
      </c>
      <c r="H23" s="80">
        <f t="shared" ref="H23:H27" si="9">L22*D23</f>
        <v>2.5</v>
      </c>
      <c r="I23" s="81">
        <f t="shared" ref="I23:I27" si="10">(J23/L22)*100</f>
        <v>0</v>
      </c>
      <c r="J23" s="82"/>
      <c r="K23" s="83"/>
      <c r="L23" s="84">
        <f t="shared" si="1"/>
        <v>50</v>
      </c>
      <c r="M23" s="70"/>
      <c r="N23" s="65"/>
      <c r="O23" s="65"/>
      <c r="P23" s="65"/>
      <c r="Q23" s="65"/>
      <c r="R23" s="65"/>
      <c r="S23" s="65"/>
      <c r="T23" s="65"/>
      <c r="U23" s="65"/>
      <c r="V23" s="65"/>
      <c r="W23" s="65"/>
      <c r="X23" s="65"/>
      <c r="Y23" s="65"/>
      <c r="Z23" s="66"/>
      <c r="AA23" s="66"/>
      <c r="AB23" s="66"/>
    </row>
    <row r="24" hidden="1" outlineLevel="1">
      <c r="A24" s="71">
        <v>46406.0</v>
      </c>
      <c r="B24" s="74">
        <v>0.1</v>
      </c>
      <c r="C24" s="75">
        <v>0.1</v>
      </c>
      <c r="D24" s="76">
        <v>0.05</v>
      </c>
      <c r="E24" s="77">
        <v>3.0</v>
      </c>
      <c r="F24" s="78">
        <v>1000.0</v>
      </c>
      <c r="G24" s="79">
        <f t="shared" si="8"/>
        <v>5</v>
      </c>
      <c r="H24" s="80">
        <f t="shared" si="9"/>
        <v>2.5</v>
      </c>
      <c r="I24" s="81">
        <f t="shared" si="10"/>
        <v>0</v>
      </c>
      <c r="J24" s="82"/>
      <c r="K24" s="83"/>
      <c r="L24" s="84">
        <f t="shared" si="1"/>
        <v>50</v>
      </c>
      <c r="M24" s="70"/>
      <c r="N24" s="65"/>
      <c r="O24" s="65"/>
      <c r="P24" s="65"/>
      <c r="Q24" s="65"/>
      <c r="R24" s="65"/>
      <c r="S24" s="65"/>
      <c r="T24" s="65"/>
      <c r="U24" s="65"/>
      <c r="V24" s="65"/>
      <c r="W24" s="65"/>
      <c r="X24" s="65"/>
      <c r="Y24" s="65"/>
      <c r="Z24" s="66"/>
      <c r="AA24" s="66"/>
      <c r="AB24" s="66"/>
    </row>
    <row r="25" hidden="1" outlineLevel="1">
      <c r="A25" s="71">
        <v>46407.0</v>
      </c>
      <c r="B25" s="74">
        <v>0.1</v>
      </c>
      <c r="C25" s="75">
        <v>0.1</v>
      </c>
      <c r="D25" s="76">
        <v>0.05</v>
      </c>
      <c r="E25" s="77">
        <v>3.0</v>
      </c>
      <c r="F25" s="78">
        <v>1000.0</v>
      </c>
      <c r="G25" s="79">
        <f t="shared" si="8"/>
        <v>5</v>
      </c>
      <c r="H25" s="80">
        <f t="shared" si="9"/>
        <v>2.5</v>
      </c>
      <c r="I25" s="81">
        <f t="shared" si="10"/>
        <v>0</v>
      </c>
      <c r="J25" s="82"/>
      <c r="K25" s="83"/>
      <c r="L25" s="84">
        <f t="shared" si="1"/>
        <v>50</v>
      </c>
      <c r="M25" s="70"/>
      <c r="N25" s="65"/>
      <c r="O25" s="65"/>
      <c r="P25" s="65"/>
      <c r="Q25" s="65"/>
      <c r="R25" s="65"/>
      <c r="S25" s="65"/>
      <c r="T25" s="65"/>
      <c r="U25" s="65"/>
      <c r="V25" s="65"/>
      <c r="W25" s="65"/>
      <c r="X25" s="65"/>
      <c r="Y25" s="65"/>
      <c r="Z25" s="66"/>
      <c r="AA25" s="66"/>
      <c r="AB25" s="66"/>
    </row>
    <row r="26" hidden="1" outlineLevel="1">
      <c r="A26" s="71">
        <v>46408.0</v>
      </c>
      <c r="B26" s="74">
        <v>0.1</v>
      </c>
      <c r="C26" s="75">
        <v>0.1</v>
      </c>
      <c r="D26" s="76">
        <v>0.05</v>
      </c>
      <c r="E26" s="77">
        <v>3.0</v>
      </c>
      <c r="F26" s="78">
        <v>1000.0</v>
      </c>
      <c r="G26" s="79">
        <f t="shared" si="8"/>
        <v>5</v>
      </c>
      <c r="H26" s="80">
        <f t="shared" si="9"/>
        <v>2.5</v>
      </c>
      <c r="I26" s="81">
        <f t="shared" si="10"/>
        <v>0</v>
      </c>
      <c r="J26" s="82"/>
      <c r="K26" s="83"/>
      <c r="L26" s="84">
        <f t="shared" si="1"/>
        <v>50</v>
      </c>
      <c r="M26" s="70"/>
      <c r="N26" s="65"/>
      <c r="O26" s="65"/>
      <c r="P26" s="65"/>
      <c r="Q26" s="65"/>
      <c r="R26" s="65"/>
      <c r="S26" s="65"/>
      <c r="T26" s="65"/>
      <c r="U26" s="65"/>
      <c r="V26" s="65"/>
      <c r="W26" s="65"/>
      <c r="X26" s="65"/>
      <c r="Y26" s="65"/>
      <c r="Z26" s="66"/>
      <c r="AA26" s="66"/>
      <c r="AB26" s="66"/>
    </row>
    <row r="27" hidden="1" outlineLevel="1">
      <c r="A27" s="71">
        <v>46409.0</v>
      </c>
      <c r="B27" s="74">
        <v>0.1</v>
      </c>
      <c r="C27" s="75">
        <v>0.1</v>
      </c>
      <c r="D27" s="76">
        <v>0.05</v>
      </c>
      <c r="E27" s="77">
        <v>3.0</v>
      </c>
      <c r="F27" s="78">
        <v>1000.0</v>
      </c>
      <c r="G27" s="79">
        <f t="shared" si="8"/>
        <v>5</v>
      </c>
      <c r="H27" s="80">
        <f t="shared" si="9"/>
        <v>2.5</v>
      </c>
      <c r="I27" s="81">
        <f t="shared" si="10"/>
        <v>0</v>
      </c>
      <c r="J27" s="82"/>
      <c r="K27" s="83"/>
      <c r="L27" s="84">
        <f t="shared" si="1"/>
        <v>50</v>
      </c>
      <c r="M27" s="70"/>
      <c r="N27" s="65"/>
      <c r="O27" s="65"/>
      <c r="P27" s="65"/>
      <c r="Q27" s="65"/>
      <c r="R27" s="65"/>
      <c r="S27" s="65"/>
      <c r="T27" s="65"/>
      <c r="U27" s="65"/>
      <c r="V27" s="65"/>
      <c r="W27" s="65"/>
      <c r="X27" s="65"/>
      <c r="Y27" s="65"/>
      <c r="Z27" s="66"/>
      <c r="AA27" s="66"/>
      <c r="AB27" s="66"/>
    </row>
    <row r="28" hidden="1" outlineLevel="1">
      <c r="A28" s="71"/>
      <c r="B28" s="74"/>
      <c r="C28" s="75"/>
      <c r="D28" s="76"/>
      <c r="E28" s="77"/>
      <c r="F28" s="78"/>
      <c r="G28" s="79"/>
      <c r="H28" s="80"/>
      <c r="I28" s="81"/>
      <c r="J28" s="82"/>
      <c r="K28" s="83"/>
      <c r="L28" s="84">
        <f t="shared" si="1"/>
        <v>50</v>
      </c>
      <c r="M28" s="70"/>
      <c r="N28" s="65"/>
      <c r="O28" s="65"/>
      <c r="P28" s="65"/>
      <c r="Q28" s="65"/>
      <c r="R28" s="65"/>
      <c r="S28" s="65"/>
      <c r="T28" s="65"/>
      <c r="U28" s="65"/>
      <c r="V28" s="65"/>
      <c r="W28" s="65"/>
      <c r="X28" s="65"/>
      <c r="Y28" s="65"/>
      <c r="Z28" s="66"/>
      <c r="AA28" s="66"/>
      <c r="AB28" s="66"/>
    </row>
    <row r="29" hidden="1" outlineLevel="1">
      <c r="A29" s="71"/>
      <c r="B29" s="74"/>
      <c r="C29" s="75"/>
      <c r="D29" s="76"/>
      <c r="E29" s="77"/>
      <c r="F29" s="78"/>
      <c r="G29" s="79"/>
      <c r="H29" s="80"/>
      <c r="I29" s="81"/>
      <c r="J29" s="82"/>
      <c r="K29" s="83"/>
      <c r="L29" s="84">
        <f t="shared" si="1"/>
        <v>50</v>
      </c>
      <c r="M29" s="70"/>
      <c r="N29" s="65"/>
      <c r="O29" s="65"/>
      <c r="P29" s="65"/>
      <c r="Q29" s="65"/>
      <c r="R29" s="65"/>
      <c r="S29" s="65"/>
      <c r="T29" s="65"/>
      <c r="U29" s="65"/>
      <c r="V29" s="65"/>
      <c r="W29" s="65"/>
      <c r="X29" s="65"/>
      <c r="Y29" s="65"/>
      <c r="Z29" s="66"/>
      <c r="AA29" s="66"/>
      <c r="AB29" s="66"/>
    </row>
    <row r="30" hidden="1" outlineLevel="1">
      <c r="A30" s="71">
        <v>46412.0</v>
      </c>
      <c r="B30" s="74">
        <v>0.1</v>
      </c>
      <c r="C30" s="75">
        <v>0.1</v>
      </c>
      <c r="D30" s="76">
        <v>0.05</v>
      </c>
      <c r="E30" s="77">
        <v>3.0</v>
      </c>
      <c r="F30" s="78">
        <v>1000.0</v>
      </c>
      <c r="G30" s="79">
        <f t="shared" ref="G30:G34" si="11">L29*C30</f>
        <v>5</v>
      </c>
      <c r="H30" s="80">
        <f t="shared" ref="H30:H34" si="12">L29*D30</f>
        <v>2.5</v>
      </c>
      <c r="I30" s="81">
        <f t="shared" ref="I30:I34" si="13">(J30/L29)*100</f>
        <v>0</v>
      </c>
      <c r="J30" s="82"/>
      <c r="K30" s="83"/>
      <c r="L30" s="84">
        <f t="shared" si="1"/>
        <v>50</v>
      </c>
      <c r="M30" s="70"/>
      <c r="N30" s="65"/>
      <c r="O30" s="65"/>
      <c r="P30" s="65"/>
      <c r="Q30" s="65"/>
      <c r="R30" s="65"/>
      <c r="S30" s="65"/>
      <c r="T30" s="65"/>
      <c r="U30" s="65"/>
      <c r="V30" s="65"/>
      <c r="W30" s="65"/>
      <c r="X30" s="65"/>
      <c r="Y30" s="65"/>
      <c r="Z30" s="66"/>
      <c r="AA30" s="66"/>
      <c r="AB30" s="66"/>
    </row>
    <row r="31" hidden="1" outlineLevel="1">
      <c r="A31" s="71">
        <v>46413.0</v>
      </c>
      <c r="B31" s="74">
        <v>0.1</v>
      </c>
      <c r="C31" s="75">
        <v>0.1</v>
      </c>
      <c r="D31" s="76">
        <v>0.05</v>
      </c>
      <c r="E31" s="77">
        <v>3.0</v>
      </c>
      <c r="F31" s="78">
        <v>1000.0</v>
      </c>
      <c r="G31" s="79">
        <f t="shared" si="11"/>
        <v>5</v>
      </c>
      <c r="H31" s="80">
        <f t="shared" si="12"/>
        <v>2.5</v>
      </c>
      <c r="I31" s="81">
        <f t="shared" si="13"/>
        <v>0</v>
      </c>
      <c r="J31" s="82"/>
      <c r="K31" s="83"/>
      <c r="L31" s="84">
        <f t="shared" si="1"/>
        <v>50</v>
      </c>
      <c r="M31" s="70"/>
      <c r="N31" s="65"/>
      <c r="O31" s="65"/>
      <c r="P31" s="65"/>
      <c r="Q31" s="65"/>
      <c r="R31" s="65"/>
      <c r="S31" s="65"/>
      <c r="T31" s="65"/>
      <c r="U31" s="65"/>
      <c r="V31" s="65"/>
      <c r="W31" s="65"/>
      <c r="X31" s="65"/>
      <c r="Y31" s="65"/>
      <c r="Z31" s="66"/>
      <c r="AA31" s="66"/>
      <c r="AB31" s="66"/>
    </row>
    <row r="32" hidden="1" outlineLevel="1">
      <c r="A32" s="71">
        <v>46414.0</v>
      </c>
      <c r="B32" s="74">
        <v>0.1</v>
      </c>
      <c r="C32" s="75">
        <v>0.1</v>
      </c>
      <c r="D32" s="76">
        <v>0.05</v>
      </c>
      <c r="E32" s="77">
        <v>3.0</v>
      </c>
      <c r="F32" s="78">
        <v>1000.0</v>
      </c>
      <c r="G32" s="79">
        <f t="shared" si="11"/>
        <v>5</v>
      </c>
      <c r="H32" s="80">
        <f t="shared" si="12"/>
        <v>2.5</v>
      </c>
      <c r="I32" s="81">
        <f t="shared" si="13"/>
        <v>0</v>
      </c>
      <c r="J32" s="82"/>
      <c r="K32" s="83"/>
      <c r="L32" s="84">
        <f t="shared" si="1"/>
        <v>50</v>
      </c>
      <c r="M32" s="70"/>
      <c r="N32" s="65"/>
      <c r="O32" s="65"/>
      <c r="P32" s="65"/>
      <c r="Q32" s="65"/>
      <c r="R32" s="65"/>
      <c r="S32" s="65"/>
      <c r="T32" s="65"/>
      <c r="U32" s="65"/>
      <c r="V32" s="65"/>
      <c r="W32" s="65"/>
      <c r="X32" s="65"/>
      <c r="Y32" s="65"/>
      <c r="Z32" s="66"/>
      <c r="AA32" s="66"/>
      <c r="AB32" s="66"/>
    </row>
    <row r="33" hidden="1" outlineLevel="1">
      <c r="A33" s="71">
        <v>46415.0</v>
      </c>
      <c r="B33" s="74">
        <v>0.1</v>
      </c>
      <c r="C33" s="75">
        <v>0.1</v>
      </c>
      <c r="D33" s="76">
        <v>0.05</v>
      </c>
      <c r="E33" s="77">
        <v>3.0</v>
      </c>
      <c r="F33" s="78">
        <v>1000.0</v>
      </c>
      <c r="G33" s="79">
        <f t="shared" si="11"/>
        <v>5</v>
      </c>
      <c r="H33" s="80">
        <f t="shared" si="12"/>
        <v>2.5</v>
      </c>
      <c r="I33" s="81">
        <f t="shared" si="13"/>
        <v>0</v>
      </c>
      <c r="J33" s="82"/>
      <c r="K33" s="83"/>
      <c r="L33" s="84">
        <f t="shared" si="1"/>
        <v>50</v>
      </c>
      <c r="M33" s="70"/>
      <c r="N33" s="65"/>
      <c r="O33" s="65"/>
      <c r="P33" s="65"/>
      <c r="Q33" s="65"/>
      <c r="R33" s="65"/>
      <c r="S33" s="65"/>
      <c r="T33" s="65"/>
      <c r="U33" s="65"/>
      <c r="V33" s="65"/>
      <c r="W33" s="65"/>
      <c r="X33" s="65"/>
      <c r="Y33" s="65"/>
      <c r="Z33" s="66"/>
      <c r="AA33" s="66"/>
      <c r="AB33" s="66"/>
    </row>
    <row r="34" hidden="1" outlineLevel="1">
      <c r="A34" s="71">
        <v>46416.0</v>
      </c>
      <c r="B34" s="74">
        <v>0.1</v>
      </c>
      <c r="C34" s="75">
        <v>0.1</v>
      </c>
      <c r="D34" s="76">
        <v>0.05</v>
      </c>
      <c r="E34" s="77">
        <v>3.0</v>
      </c>
      <c r="F34" s="78">
        <v>1000.0</v>
      </c>
      <c r="G34" s="79">
        <f t="shared" si="11"/>
        <v>5</v>
      </c>
      <c r="H34" s="80">
        <f t="shared" si="12"/>
        <v>2.5</v>
      </c>
      <c r="I34" s="81">
        <f t="shared" si="13"/>
        <v>0</v>
      </c>
      <c r="J34" s="82"/>
      <c r="K34" s="83"/>
      <c r="L34" s="84">
        <f t="shared" si="1"/>
        <v>50</v>
      </c>
      <c r="M34" s="70"/>
      <c r="N34" s="65"/>
      <c r="O34" s="65"/>
      <c r="P34" s="65"/>
      <c r="Q34" s="65"/>
      <c r="R34" s="65"/>
      <c r="S34" s="65"/>
      <c r="T34" s="65"/>
      <c r="U34" s="65"/>
      <c r="V34" s="65"/>
      <c r="W34" s="65"/>
      <c r="X34" s="65"/>
      <c r="Y34" s="65"/>
      <c r="Z34" s="66"/>
      <c r="AA34" s="66"/>
      <c r="AB34" s="66"/>
    </row>
    <row r="35" hidden="1" outlineLevel="1">
      <c r="A35" s="71"/>
      <c r="B35" s="74"/>
      <c r="C35" s="75"/>
      <c r="D35" s="76"/>
      <c r="E35" s="77"/>
      <c r="F35" s="78"/>
      <c r="G35" s="79"/>
      <c r="H35" s="80"/>
      <c r="I35" s="81"/>
      <c r="J35" s="82"/>
      <c r="K35" s="83"/>
      <c r="L35" s="84">
        <f t="shared" si="1"/>
        <v>50</v>
      </c>
      <c r="M35" s="70"/>
      <c r="N35" s="65"/>
      <c r="O35" s="65"/>
      <c r="P35" s="65"/>
      <c r="Q35" s="65"/>
      <c r="R35" s="65"/>
      <c r="S35" s="65"/>
      <c r="T35" s="65"/>
      <c r="U35" s="65"/>
      <c r="V35" s="65"/>
      <c r="W35" s="65"/>
      <c r="X35" s="65"/>
      <c r="Y35" s="65"/>
      <c r="Z35" s="66"/>
      <c r="AA35" s="66"/>
      <c r="AB35" s="66"/>
    </row>
    <row r="36" hidden="1" outlineLevel="1">
      <c r="A36" s="71"/>
      <c r="B36" s="74"/>
      <c r="C36" s="75"/>
      <c r="D36" s="76"/>
      <c r="E36" s="77"/>
      <c r="F36" s="78"/>
      <c r="G36" s="79"/>
      <c r="H36" s="80"/>
      <c r="I36" s="81"/>
      <c r="J36" s="82"/>
      <c r="K36" s="83"/>
      <c r="L36" s="84">
        <f t="shared" si="1"/>
        <v>50</v>
      </c>
      <c r="M36" s="70"/>
      <c r="N36" s="65"/>
      <c r="O36" s="65"/>
      <c r="P36" s="65"/>
      <c r="Q36" s="65"/>
      <c r="R36" s="65"/>
      <c r="S36" s="65"/>
      <c r="T36" s="65"/>
      <c r="U36" s="65"/>
      <c r="V36" s="65"/>
      <c r="W36" s="65"/>
      <c r="X36" s="65"/>
      <c r="Y36" s="65"/>
      <c r="Z36" s="66"/>
      <c r="AA36" s="66"/>
      <c r="AB36" s="66"/>
    </row>
    <row r="37" hidden="1" outlineLevel="1">
      <c r="A37" s="85" t="s">
        <v>41</v>
      </c>
      <c r="C37" s="86">
        <f>SUM(C6:C36)</f>
        <v>2.1</v>
      </c>
      <c r="D37" s="87"/>
      <c r="E37" s="87"/>
      <c r="F37" s="87"/>
      <c r="G37" s="87"/>
      <c r="H37" s="87"/>
      <c r="I37" s="88">
        <f t="shared" ref="I37:K37" si="14">SUM(I6:I36)</f>
        <v>0</v>
      </c>
      <c r="J37" s="89">
        <f t="shared" si="14"/>
        <v>0</v>
      </c>
      <c r="K37" s="87">
        <f t="shared" si="14"/>
        <v>0</v>
      </c>
      <c r="L37" s="89">
        <f>L36</f>
        <v>50</v>
      </c>
      <c r="M37" s="70"/>
      <c r="N37" s="65"/>
      <c r="O37" s="65"/>
      <c r="P37" s="65"/>
      <c r="Q37" s="65"/>
      <c r="R37" s="65"/>
      <c r="S37" s="65"/>
      <c r="T37" s="65"/>
      <c r="U37" s="65"/>
      <c r="V37" s="65"/>
      <c r="W37" s="65"/>
      <c r="X37" s="65"/>
      <c r="Y37" s="65"/>
      <c r="Z37" s="66"/>
      <c r="AA37" s="66"/>
      <c r="AB37" s="66"/>
    </row>
    <row r="38">
      <c r="A38" s="95"/>
      <c r="B38" s="92"/>
      <c r="C38" s="92"/>
      <c r="D38" s="92"/>
      <c r="E38" s="92"/>
      <c r="F38" s="92"/>
      <c r="G38" s="92"/>
      <c r="H38" s="92"/>
      <c r="I38" s="92"/>
      <c r="J38" s="92"/>
      <c r="K38" s="94">
        <f>SUM(K6:K36)</f>
        <v>0</v>
      </c>
      <c r="L38" s="92"/>
      <c r="M38" s="70"/>
      <c r="N38" s="65"/>
      <c r="O38" s="65"/>
      <c r="P38" s="65"/>
      <c r="Q38" s="65"/>
      <c r="R38" s="65"/>
      <c r="S38" s="65"/>
      <c r="T38" s="65"/>
      <c r="U38" s="65"/>
      <c r="V38" s="65"/>
      <c r="W38" s="65"/>
      <c r="X38" s="65"/>
      <c r="Y38" s="65"/>
      <c r="Z38" s="66"/>
      <c r="AA38" s="66"/>
      <c r="AB38" s="66"/>
    </row>
    <row r="39" collapsed="1">
      <c r="A39" s="57" t="s">
        <v>43</v>
      </c>
      <c r="M39" s="65"/>
      <c r="N39" s="65"/>
      <c r="O39" s="65"/>
      <c r="P39" s="65"/>
      <c r="Q39" s="65"/>
      <c r="R39" s="65"/>
      <c r="S39" s="65"/>
      <c r="T39" s="65"/>
      <c r="U39" s="65"/>
      <c r="V39" s="65"/>
      <c r="W39" s="65"/>
      <c r="X39" s="65"/>
      <c r="Y39" s="65"/>
      <c r="Z39" s="66"/>
      <c r="AA39" s="66"/>
      <c r="AB39" s="66"/>
    </row>
    <row r="40" hidden="1" outlineLevel="1">
      <c r="A40" s="71" t="s">
        <v>29</v>
      </c>
      <c r="B40" s="57" t="s">
        <v>30</v>
      </c>
      <c r="C40" s="57" t="s">
        <v>31</v>
      </c>
      <c r="D40" s="72" t="s">
        <v>32</v>
      </c>
      <c r="E40" s="72" t="s">
        <v>33</v>
      </c>
      <c r="F40" s="72" t="s">
        <v>34</v>
      </c>
      <c r="G40" s="73" t="s">
        <v>35</v>
      </c>
      <c r="H40" s="72" t="s">
        <v>36</v>
      </c>
      <c r="I40" s="57" t="s">
        <v>37</v>
      </c>
      <c r="J40" s="74" t="s">
        <v>38</v>
      </c>
      <c r="K40" s="57" t="s">
        <v>39</v>
      </c>
      <c r="L40" s="57" t="s">
        <v>40</v>
      </c>
      <c r="M40" s="65"/>
      <c r="N40" s="65"/>
      <c r="O40" s="65"/>
      <c r="P40" s="65"/>
      <c r="Q40" s="65"/>
      <c r="R40" s="65"/>
      <c r="S40" s="65"/>
      <c r="T40" s="65"/>
      <c r="U40" s="65"/>
      <c r="V40" s="65"/>
      <c r="W40" s="65"/>
      <c r="X40" s="65"/>
      <c r="Y40" s="65"/>
      <c r="Z40" s="66"/>
      <c r="AA40" s="66"/>
      <c r="AB40" s="66"/>
    </row>
    <row r="41" hidden="1" outlineLevel="1">
      <c r="A41" s="71">
        <v>46419.0</v>
      </c>
      <c r="B41" s="74">
        <v>0.1</v>
      </c>
      <c r="C41" s="75">
        <v>0.1</v>
      </c>
      <c r="D41" s="76">
        <v>0.05</v>
      </c>
      <c r="E41" s="77">
        <v>3.0</v>
      </c>
      <c r="F41" s="78">
        <v>1000.0</v>
      </c>
      <c r="G41" s="79">
        <f>L37*C41</f>
        <v>5</v>
      </c>
      <c r="H41" s="80">
        <f>L37*D41</f>
        <v>2.5</v>
      </c>
      <c r="I41" s="81">
        <f>(J41/L37)*100</f>
        <v>0</v>
      </c>
      <c r="J41" s="82"/>
      <c r="K41" s="83"/>
      <c r="L41" s="84">
        <f>(L37+J41)-K41</f>
        <v>50</v>
      </c>
      <c r="M41" s="65"/>
      <c r="N41" s="65"/>
      <c r="O41" s="65"/>
      <c r="P41" s="65"/>
      <c r="Q41" s="65"/>
      <c r="R41" s="65"/>
      <c r="S41" s="65"/>
      <c r="T41" s="65"/>
      <c r="U41" s="65"/>
      <c r="V41" s="65"/>
      <c r="W41" s="65"/>
      <c r="X41" s="65"/>
      <c r="Y41" s="65"/>
      <c r="Z41" s="66"/>
      <c r="AA41" s="66"/>
      <c r="AB41" s="66"/>
    </row>
    <row r="42" hidden="1" outlineLevel="1">
      <c r="A42" s="71">
        <v>46420.0</v>
      </c>
      <c r="B42" s="74">
        <v>0.1</v>
      </c>
      <c r="C42" s="75">
        <v>0.1</v>
      </c>
      <c r="D42" s="76">
        <v>0.05</v>
      </c>
      <c r="E42" s="77">
        <v>3.0</v>
      </c>
      <c r="F42" s="78">
        <v>1000.0</v>
      </c>
      <c r="G42" s="79">
        <f t="shared" ref="G42:G45" si="15">L41*C42</f>
        <v>5</v>
      </c>
      <c r="H42" s="80">
        <f t="shared" ref="H42:H45" si="16">L41*D42</f>
        <v>2.5</v>
      </c>
      <c r="I42" s="81">
        <f t="shared" ref="I42:I45" si="17">(J42/L41)*100</f>
        <v>0</v>
      </c>
      <c r="J42" s="82"/>
      <c r="K42" s="83"/>
      <c r="L42" s="84">
        <f t="shared" ref="L42:L68" si="18">(L41+J42)-K42</f>
        <v>50</v>
      </c>
      <c r="M42" s="65"/>
      <c r="N42" s="65"/>
      <c r="O42" s="65"/>
      <c r="P42" s="65"/>
      <c r="Q42" s="65"/>
      <c r="R42" s="65"/>
      <c r="S42" s="65"/>
      <c r="T42" s="65"/>
      <c r="U42" s="65"/>
      <c r="V42" s="65"/>
      <c r="W42" s="65"/>
      <c r="X42" s="65"/>
      <c r="Y42" s="65"/>
      <c r="Z42" s="66"/>
      <c r="AA42" s="66"/>
      <c r="AB42" s="66"/>
    </row>
    <row r="43" hidden="1" outlineLevel="1">
      <c r="A43" s="71">
        <v>46421.0</v>
      </c>
      <c r="B43" s="74">
        <v>0.1</v>
      </c>
      <c r="C43" s="75">
        <v>0.1</v>
      </c>
      <c r="D43" s="76">
        <v>0.05</v>
      </c>
      <c r="E43" s="77">
        <v>3.0</v>
      </c>
      <c r="F43" s="78">
        <v>1000.0</v>
      </c>
      <c r="G43" s="79">
        <f t="shared" si="15"/>
        <v>5</v>
      </c>
      <c r="H43" s="80">
        <f t="shared" si="16"/>
        <v>2.5</v>
      </c>
      <c r="I43" s="81">
        <f t="shared" si="17"/>
        <v>0</v>
      </c>
      <c r="J43" s="82"/>
      <c r="K43" s="83"/>
      <c r="L43" s="84">
        <f t="shared" si="18"/>
        <v>50</v>
      </c>
      <c r="M43" s="65"/>
      <c r="N43" s="65"/>
      <c r="O43" s="65"/>
      <c r="P43" s="65"/>
      <c r="Q43" s="65"/>
      <c r="R43" s="65"/>
      <c r="S43" s="65"/>
      <c r="T43" s="65"/>
      <c r="U43" s="65"/>
      <c r="V43" s="65"/>
      <c r="W43" s="65"/>
      <c r="X43" s="65"/>
      <c r="Y43" s="65"/>
      <c r="Z43" s="66"/>
      <c r="AA43" s="66"/>
      <c r="AB43" s="66"/>
    </row>
    <row r="44" hidden="1" outlineLevel="1">
      <c r="A44" s="71">
        <v>46422.0</v>
      </c>
      <c r="B44" s="74">
        <v>0.1</v>
      </c>
      <c r="C44" s="75">
        <v>0.1</v>
      </c>
      <c r="D44" s="76">
        <v>0.05</v>
      </c>
      <c r="E44" s="77">
        <v>3.0</v>
      </c>
      <c r="F44" s="78">
        <v>1000.0</v>
      </c>
      <c r="G44" s="79">
        <f t="shared" si="15"/>
        <v>5</v>
      </c>
      <c r="H44" s="80">
        <f t="shared" si="16"/>
        <v>2.5</v>
      </c>
      <c r="I44" s="81">
        <f t="shared" si="17"/>
        <v>0</v>
      </c>
      <c r="J44" s="82"/>
      <c r="K44" s="83"/>
      <c r="L44" s="84">
        <f t="shared" si="18"/>
        <v>50</v>
      </c>
      <c r="M44" s="65"/>
      <c r="N44" s="65"/>
      <c r="O44" s="65"/>
      <c r="P44" s="65"/>
      <c r="Q44" s="65"/>
      <c r="R44" s="65"/>
      <c r="S44" s="65"/>
      <c r="T44" s="65"/>
      <c r="U44" s="65"/>
      <c r="V44" s="65"/>
      <c r="W44" s="65"/>
      <c r="X44" s="65"/>
      <c r="Y44" s="65"/>
      <c r="Z44" s="66"/>
      <c r="AA44" s="66"/>
      <c r="AB44" s="66"/>
    </row>
    <row r="45" hidden="1" outlineLevel="1">
      <c r="A45" s="71">
        <v>46423.0</v>
      </c>
      <c r="B45" s="74">
        <v>0.1</v>
      </c>
      <c r="C45" s="75">
        <v>0.1</v>
      </c>
      <c r="D45" s="76">
        <v>0.05</v>
      </c>
      <c r="E45" s="77">
        <v>3.0</v>
      </c>
      <c r="F45" s="78">
        <v>1000.0</v>
      </c>
      <c r="G45" s="79">
        <f t="shared" si="15"/>
        <v>5</v>
      </c>
      <c r="H45" s="80">
        <f t="shared" si="16"/>
        <v>2.5</v>
      </c>
      <c r="I45" s="81">
        <f t="shared" si="17"/>
        <v>0</v>
      </c>
      <c r="J45" s="82"/>
      <c r="K45" s="83"/>
      <c r="L45" s="84">
        <f t="shared" si="18"/>
        <v>50</v>
      </c>
      <c r="M45" s="65"/>
      <c r="N45" s="65"/>
      <c r="O45" s="65"/>
      <c r="P45" s="65"/>
      <c r="Q45" s="65"/>
      <c r="R45" s="65"/>
      <c r="S45" s="65"/>
      <c r="T45" s="65"/>
      <c r="U45" s="65"/>
      <c r="V45" s="65"/>
      <c r="W45" s="65"/>
      <c r="X45" s="65"/>
      <c r="Y45" s="65"/>
      <c r="Z45" s="66"/>
      <c r="AA45" s="66"/>
      <c r="AB45" s="66"/>
    </row>
    <row r="46" hidden="1" outlineLevel="1">
      <c r="A46" s="71"/>
      <c r="B46" s="74"/>
      <c r="C46" s="75"/>
      <c r="D46" s="76"/>
      <c r="E46" s="77"/>
      <c r="F46" s="78"/>
      <c r="G46" s="79"/>
      <c r="H46" s="80"/>
      <c r="I46" s="81"/>
      <c r="J46" s="82"/>
      <c r="K46" s="83"/>
      <c r="L46" s="84">
        <f t="shared" si="18"/>
        <v>50</v>
      </c>
      <c r="M46" s="65"/>
      <c r="N46" s="65"/>
      <c r="O46" s="65"/>
      <c r="P46" s="65"/>
      <c r="Q46" s="65"/>
      <c r="R46" s="65"/>
      <c r="S46" s="65"/>
      <c r="T46" s="65"/>
      <c r="U46" s="65"/>
      <c r="V46" s="65"/>
      <c r="W46" s="65"/>
      <c r="X46" s="65"/>
      <c r="Y46" s="65"/>
      <c r="Z46" s="66"/>
      <c r="AA46" s="66"/>
      <c r="AB46" s="66"/>
    </row>
    <row r="47" hidden="1" outlineLevel="1">
      <c r="A47" s="71"/>
      <c r="B47" s="74"/>
      <c r="C47" s="75"/>
      <c r="D47" s="76"/>
      <c r="E47" s="77"/>
      <c r="F47" s="78"/>
      <c r="G47" s="79"/>
      <c r="H47" s="80"/>
      <c r="I47" s="81"/>
      <c r="J47" s="82"/>
      <c r="K47" s="83"/>
      <c r="L47" s="84">
        <f t="shared" si="18"/>
        <v>50</v>
      </c>
      <c r="M47" s="65"/>
      <c r="N47" s="65"/>
      <c r="O47" s="65"/>
      <c r="P47" s="65"/>
      <c r="Q47" s="65"/>
      <c r="R47" s="65"/>
      <c r="S47" s="65"/>
      <c r="T47" s="65"/>
      <c r="U47" s="65"/>
      <c r="V47" s="65"/>
      <c r="W47" s="65"/>
      <c r="X47" s="65"/>
      <c r="Y47" s="65"/>
      <c r="Z47" s="66"/>
      <c r="AA47" s="66"/>
      <c r="AB47" s="66"/>
    </row>
    <row r="48" hidden="1" outlineLevel="1">
      <c r="A48" s="71">
        <v>46426.0</v>
      </c>
      <c r="B48" s="74">
        <v>0.1</v>
      </c>
      <c r="C48" s="75">
        <v>0.1</v>
      </c>
      <c r="D48" s="76">
        <v>0.05</v>
      </c>
      <c r="E48" s="77">
        <v>3.0</v>
      </c>
      <c r="F48" s="78">
        <v>1000.0</v>
      </c>
      <c r="G48" s="79">
        <f t="shared" ref="G48:G52" si="19">L47*C48</f>
        <v>5</v>
      </c>
      <c r="H48" s="80">
        <f t="shared" ref="H48:H52" si="20">L47*D48</f>
        <v>2.5</v>
      </c>
      <c r="I48" s="81">
        <f t="shared" ref="I48:I52" si="21">(J48/L47)*100</f>
        <v>0</v>
      </c>
      <c r="J48" s="82"/>
      <c r="K48" s="83"/>
      <c r="L48" s="84">
        <f t="shared" si="18"/>
        <v>50</v>
      </c>
      <c r="M48" s="65"/>
      <c r="N48" s="65"/>
      <c r="O48" s="65"/>
      <c r="P48" s="65"/>
      <c r="Q48" s="65"/>
      <c r="R48" s="65"/>
      <c r="S48" s="65"/>
      <c r="T48" s="65"/>
      <c r="U48" s="65"/>
      <c r="V48" s="65"/>
      <c r="W48" s="65"/>
      <c r="X48" s="65"/>
      <c r="Y48" s="65"/>
      <c r="Z48" s="66"/>
      <c r="AA48" s="66"/>
      <c r="AB48" s="66"/>
    </row>
    <row r="49" hidden="1" outlineLevel="1">
      <c r="A49" s="71">
        <v>46427.0</v>
      </c>
      <c r="B49" s="74">
        <v>0.1</v>
      </c>
      <c r="C49" s="75">
        <v>0.1</v>
      </c>
      <c r="D49" s="76">
        <v>0.05</v>
      </c>
      <c r="E49" s="77">
        <v>3.0</v>
      </c>
      <c r="F49" s="78">
        <v>1000.0</v>
      </c>
      <c r="G49" s="79">
        <f t="shared" si="19"/>
        <v>5</v>
      </c>
      <c r="H49" s="80">
        <f t="shared" si="20"/>
        <v>2.5</v>
      </c>
      <c r="I49" s="81">
        <f t="shared" si="21"/>
        <v>0</v>
      </c>
      <c r="J49" s="82"/>
      <c r="K49" s="83"/>
      <c r="L49" s="84">
        <f t="shared" si="18"/>
        <v>50</v>
      </c>
      <c r="M49" s="65"/>
      <c r="N49" s="65"/>
      <c r="O49" s="65"/>
      <c r="P49" s="65"/>
      <c r="Q49" s="65"/>
      <c r="R49" s="65"/>
      <c r="S49" s="65"/>
      <c r="T49" s="65"/>
      <c r="U49" s="65"/>
      <c r="V49" s="65"/>
      <c r="W49" s="65"/>
      <c r="X49" s="65"/>
      <c r="Y49" s="65"/>
      <c r="Z49" s="66"/>
      <c r="AA49" s="66"/>
      <c r="AB49" s="66"/>
    </row>
    <row r="50" hidden="1" outlineLevel="1">
      <c r="A50" s="71">
        <v>46428.0</v>
      </c>
      <c r="B50" s="74">
        <v>0.1</v>
      </c>
      <c r="C50" s="75">
        <v>0.1</v>
      </c>
      <c r="D50" s="76">
        <v>0.05</v>
      </c>
      <c r="E50" s="77">
        <v>3.0</v>
      </c>
      <c r="F50" s="78">
        <v>1000.0</v>
      </c>
      <c r="G50" s="79">
        <f t="shared" si="19"/>
        <v>5</v>
      </c>
      <c r="H50" s="80">
        <f t="shared" si="20"/>
        <v>2.5</v>
      </c>
      <c r="I50" s="81">
        <f t="shared" si="21"/>
        <v>0</v>
      </c>
      <c r="J50" s="82"/>
      <c r="K50" s="83"/>
      <c r="L50" s="84">
        <f t="shared" si="18"/>
        <v>50</v>
      </c>
      <c r="M50" s="65"/>
      <c r="N50" s="65"/>
      <c r="O50" s="65"/>
      <c r="P50" s="65"/>
      <c r="Q50" s="65"/>
      <c r="R50" s="65"/>
      <c r="S50" s="65"/>
      <c r="T50" s="65"/>
      <c r="U50" s="65"/>
      <c r="V50" s="65"/>
      <c r="W50" s="65"/>
      <c r="X50" s="65"/>
      <c r="Y50" s="65"/>
      <c r="Z50" s="66"/>
      <c r="AA50" s="66"/>
      <c r="AB50" s="66"/>
    </row>
    <row r="51" hidden="1" outlineLevel="1">
      <c r="A51" s="71">
        <v>46429.0</v>
      </c>
      <c r="B51" s="74">
        <v>0.1</v>
      </c>
      <c r="C51" s="75">
        <v>0.1</v>
      </c>
      <c r="D51" s="76">
        <v>0.05</v>
      </c>
      <c r="E51" s="77">
        <v>3.0</v>
      </c>
      <c r="F51" s="78">
        <v>1000.0</v>
      </c>
      <c r="G51" s="79">
        <f t="shared" si="19"/>
        <v>5</v>
      </c>
      <c r="H51" s="80">
        <f t="shared" si="20"/>
        <v>2.5</v>
      </c>
      <c r="I51" s="81">
        <f t="shared" si="21"/>
        <v>0</v>
      </c>
      <c r="J51" s="82"/>
      <c r="K51" s="83"/>
      <c r="L51" s="84">
        <f t="shared" si="18"/>
        <v>50</v>
      </c>
      <c r="M51" s="65"/>
      <c r="N51" s="65"/>
      <c r="O51" s="65"/>
      <c r="P51" s="65"/>
      <c r="Q51" s="65"/>
      <c r="R51" s="65"/>
      <c r="S51" s="65"/>
      <c r="T51" s="65"/>
      <c r="U51" s="65"/>
      <c r="V51" s="65"/>
      <c r="W51" s="65"/>
      <c r="X51" s="65"/>
      <c r="Y51" s="65"/>
      <c r="Z51" s="66"/>
      <c r="AA51" s="66"/>
      <c r="AB51" s="66"/>
    </row>
    <row r="52" hidden="1" outlineLevel="1">
      <c r="A52" s="71">
        <v>46430.0</v>
      </c>
      <c r="B52" s="74">
        <v>0.1</v>
      </c>
      <c r="C52" s="75">
        <v>0.1</v>
      </c>
      <c r="D52" s="76">
        <v>0.05</v>
      </c>
      <c r="E52" s="77">
        <v>3.0</v>
      </c>
      <c r="F52" s="78">
        <v>1000.0</v>
      </c>
      <c r="G52" s="79">
        <f t="shared" si="19"/>
        <v>5</v>
      </c>
      <c r="H52" s="80">
        <f t="shared" si="20"/>
        <v>2.5</v>
      </c>
      <c r="I52" s="81">
        <f t="shared" si="21"/>
        <v>0</v>
      </c>
      <c r="J52" s="82"/>
      <c r="K52" s="83"/>
      <c r="L52" s="84">
        <f t="shared" si="18"/>
        <v>50</v>
      </c>
      <c r="M52" s="65"/>
      <c r="N52" s="65"/>
      <c r="O52" s="65"/>
      <c r="P52" s="65"/>
      <c r="Q52" s="65"/>
      <c r="R52" s="65"/>
      <c r="S52" s="65"/>
      <c r="T52" s="65"/>
      <c r="U52" s="65"/>
      <c r="V52" s="65"/>
      <c r="W52" s="65"/>
      <c r="X52" s="65"/>
      <c r="Y52" s="65"/>
      <c r="Z52" s="66"/>
      <c r="AA52" s="66"/>
      <c r="AB52" s="66"/>
    </row>
    <row r="53" hidden="1" outlineLevel="1">
      <c r="A53" s="71"/>
      <c r="B53" s="74"/>
      <c r="C53" s="75"/>
      <c r="D53" s="76"/>
      <c r="E53" s="77"/>
      <c r="F53" s="78"/>
      <c r="G53" s="79"/>
      <c r="H53" s="80"/>
      <c r="I53" s="81"/>
      <c r="J53" s="82"/>
      <c r="K53" s="83"/>
      <c r="L53" s="84">
        <f t="shared" si="18"/>
        <v>50</v>
      </c>
      <c r="M53" s="65"/>
      <c r="N53" s="65"/>
      <c r="O53" s="65"/>
      <c r="P53" s="65"/>
      <c r="Q53" s="65"/>
      <c r="R53" s="65"/>
      <c r="S53" s="65"/>
      <c r="T53" s="65"/>
      <c r="U53" s="65"/>
      <c r="V53" s="65"/>
      <c r="W53" s="65"/>
      <c r="X53" s="65"/>
      <c r="Y53" s="65"/>
      <c r="Z53" s="66"/>
      <c r="AA53" s="66"/>
      <c r="AB53" s="66"/>
    </row>
    <row r="54" hidden="1" outlineLevel="1">
      <c r="A54" s="71"/>
      <c r="B54" s="74"/>
      <c r="C54" s="75"/>
      <c r="D54" s="76"/>
      <c r="E54" s="77"/>
      <c r="F54" s="78"/>
      <c r="G54" s="79"/>
      <c r="H54" s="80"/>
      <c r="I54" s="81"/>
      <c r="J54" s="82"/>
      <c r="K54" s="83"/>
      <c r="L54" s="84">
        <f t="shared" si="18"/>
        <v>50</v>
      </c>
      <c r="M54" s="65"/>
      <c r="N54" s="65"/>
      <c r="O54" s="65"/>
      <c r="P54" s="65"/>
      <c r="Q54" s="65"/>
      <c r="R54" s="65"/>
      <c r="S54" s="65"/>
      <c r="T54" s="65"/>
      <c r="U54" s="65"/>
      <c r="V54" s="65"/>
      <c r="W54" s="65"/>
      <c r="X54" s="65"/>
      <c r="Y54" s="65"/>
      <c r="Z54" s="66"/>
      <c r="AA54" s="66"/>
      <c r="AB54" s="66"/>
    </row>
    <row r="55" hidden="1" outlineLevel="1">
      <c r="A55" s="71">
        <v>46433.0</v>
      </c>
      <c r="B55" s="74">
        <v>0.1</v>
      </c>
      <c r="C55" s="75">
        <v>0.1</v>
      </c>
      <c r="D55" s="76">
        <v>0.05</v>
      </c>
      <c r="E55" s="77">
        <v>3.0</v>
      </c>
      <c r="F55" s="78">
        <v>1000.0</v>
      </c>
      <c r="G55" s="79">
        <f t="shared" ref="G55:G59" si="22">L54*C55</f>
        <v>5</v>
      </c>
      <c r="H55" s="80">
        <f t="shared" ref="H55:H59" si="23">L54*D55</f>
        <v>2.5</v>
      </c>
      <c r="I55" s="81">
        <f t="shared" ref="I55:I59" si="24">(J55/L54)*100</f>
        <v>0</v>
      </c>
      <c r="J55" s="82"/>
      <c r="K55" s="83"/>
      <c r="L55" s="84">
        <f t="shared" si="18"/>
        <v>50</v>
      </c>
      <c r="M55" s="65"/>
      <c r="N55" s="65"/>
      <c r="O55" s="65"/>
      <c r="P55" s="65"/>
      <c r="Q55" s="65"/>
      <c r="R55" s="65"/>
      <c r="S55" s="65"/>
      <c r="T55" s="65"/>
      <c r="U55" s="65"/>
      <c r="V55" s="65"/>
      <c r="W55" s="65"/>
      <c r="X55" s="65"/>
      <c r="Y55" s="65"/>
      <c r="Z55" s="66"/>
      <c r="AA55" s="66"/>
      <c r="AB55" s="66"/>
    </row>
    <row r="56" hidden="1" outlineLevel="1">
      <c r="A56" s="71">
        <v>46434.0</v>
      </c>
      <c r="B56" s="74">
        <v>0.1</v>
      </c>
      <c r="C56" s="75">
        <v>0.1</v>
      </c>
      <c r="D56" s="76">
        <v>0.05</v>
      </c>
      <c r="E56" s="77">
        <v>3.0</v>
      </c>
      <c r="F56" s="78">
        <v>1000.0</v>
      </c>
      <c r="G56" s="79">
        <f t="shared" si="22"/>
        <v>5</v>
      </c>
      <c r="H56" s="80">
        <f t="shared" si="23"/>
        <v>2.5</v>
      </c>
      <c r="I56" s="81">
        <f t="shared" si="24"/>
        <v>0</v>
      </c>
      <c r="J56" s="82"/>
      <c r="K56" s="83"/>
      <c r="L56" s="84">
        <f t="shared" si="18"/>
        <v>50</v>
      </c>
      <c r="M56" s="65"/>
      <c r="N56" s="65"/>
      <c r="O56" s="65"/>
      <c r="P56" s="65"/>
      <c r="Q56" s="65"/>
      <c r="R56" s="65"/>
      <c r="S56" s="65"/>
      <c r="T56" s="65"/>
      <c r="U56" s="65"/>
      <c r="V56" s="65"/>
      <c r="W56" s="65"/>
      <c r="X56" s="65"/>
      <c r="Y56" s="65"/>
      <c r="Z56" s="66"/>
      <c r="AA56" s="66"/>
      <c r="AB56" s="66"/>
    </row>
    <row r="57" hidden="1" outlineLevel="1">
      <c r="A57" s="71">
        <v>46435.0</v>
      </c>
      <c r="B57" s="74">
        <v>0.1</v>
      </c>
      <c r="C57" s="75">
        <v>0.1</v>
      </c>
      <c r="D57" s="76">
        <v>0.05</v>
      </c>
      <c r="E57" s="77">
        <v>3.0</v>
      </c>
      <c r="F57" s="78">
        <v>1000.0</v>
      </c>
      <c r="G57" s="79">
        <f t="shared" si="22"/>
        <v>5</v>
      </c>
      <c r="H57" s="80">
        <f t="shared" si="23"/>
        <v>2.5</v>
      </c>
      <c r="I57" s="81">
        <f t="shared" si="24"/>
        <v>0</v>
      </c>
      <c r="J57" s="82"/>
      <c r="K57" s="83"/>
      <c r="L57" s="84">
        <f t="shared" si="18"/>
        <v>50</v>
      </c>
      <c r="M57" s="65"/>
      <c r="N57" s="65"/>
      <c r="O57" s="65"/>
      <c r="P57" s="65"/>
      <c r="Q57" s="65"/>
      <c r="R57" s="65"/>
      <c r="S57" s="65"/>
      <c r="T57" s="65"/>
      <c r="U57" s="65"/>
      <c r="V57" s="65"/>
      <c r="W57" s="65"/>
      <c r="X57" s="65"/>
      <c r="Y57" s="65"/>
      <c r="Z57" s="66"/>
      <c r="AA57" s="66"/>
      <c r="AB57" s="66"/>
    </row>
    <row r="58" hidden="1" outlineLevel="1">
      <c r="A58" s="71">
        <v>46436.0</v>
      </c>
      <c r="B58" s="74">
        <v>0.1</v>
      </c>
      <c r="C58" s="75">
        <v>0.1</v>
      </c>
      <c r="D58" s="76">
        <v>0.05</v>
      </c>
      <c r="E58" s="77">
        <v>3.0</v>
      </c>
      <c r="F58" s="78">
        <v>1000.0</v>
      </c>
      <c r="G58" s="79">
        <f t="shared" si="22"/>
        <v>5</v>
      </c>
      <c r="H58" s="80">
        <f t="shared" si="23"/>
        <v>2.5</v>
      </c>
      <c r="I58" s="81">
        <f t="shared" si="24"/>
        <v>0</v>
      </c>
      <c r="J58" s="82"/>
      <c r="K58" s="83"/>
      <c r="L58" s="84">
        <f t="shared" si="18"/>
        <v>50</v>
      </c>
      <c r="M58" s="65"/>
      <c r="N58" s="65"/>
      <c r="O58" s="65"/>
      <c r="P58" s="65"/>
      <c r="Q58" s="65"/>
      <c r="R58" s="65"/>
      <c r="S58" s="65"/>
      <c r="T58" s="65"/>
      <c r="U58" s="65"/>
      <c r="V58" s="65"/>
      <c r="W58" s="65"/>
      <c r="X58" s="65"/>
      <c r="Y58" s="65"/>
      <c r="Z58" s="66"/>
      <c r="AA58" s="66"/>
      <c r="AB58" s="66"/>
    </row>
    <row r="59" hidden="1" outlineLevel="1">
      <c r="A59" s="71">
        <v>46437.0</v>
      </c>
      <c r="B59" s="74">
        <v>0.1</v>
      </c>
      <c r="C59" s="75">
        <v>0.1</v>
      </c>
      <c r="D59" s="76">
        <v>0.05</v>
      </c>
      <c r="E59" s="77">
        <v>3.0</v>
      </c>
      <c r="F59" s="78">
        <v>1000.0</v>
      </c>
      <c r="G59" s="79">
        <f t="shared" si="22"/>
        <v>5</v>
      </c>
      <c r="H59" s="80">
        <f t="shared" si="23"/>
        <v>2.5</v>
      </c>
      <c r="I59" s="81">
        <f t="shared" si="24"/>
        <v>0</v>
      </c>
      <c r="J59" s="82"/>
      <c r="K59" s="83"/>
      <c r="L59" s="84">
        <f t="shared" si="18"/>
        <v>50</v>
      </c>
      <c r="M59" s="65"/>
      <c r="N59" s="65"/>
      <c r="O59" s="65"/>
      <c r="P59" s="65"/>
      <c r="Q59" s="65"/>
      <c r="R59" s="65"/>
      <c r="S59" s="65"/>
      <c r="T59" s="65"/>
      <c r="U59" s="65"/>
      <c r="V59" s="65"/>
      <c r="W59" s="65"/>
      <c r="X59" s="65"/>
      <c r="Y59" s="65"/>
      <c r="Z59" s="66"/>
      <c r="AA59" s="66"/>
      <c r="AB59" s="66"/>
    </row>
    <row r="60" hidden="1" outlineLevel="1">
      <c r="A60" s="71"/>
      <c r="B60" s="74"/>
      <c r="C60" s="75"/>
      <c r="D60" s="76"/>
      <c r="E60" s="77"/>
      <c r="F60" s="78"/>
      <c r="G60" s="79"/>
      <c r="H60" s="80"/>
      <c r="I60" s="81"/>
      <c r="J60" s="82"/>
      <c r="K60" s="83"/>
      <c r="L60" s="84">
        <f t="shared" si="18"/>
        <v>50</v>
      </c>
      <c r="M60" s="65"/>
      <c r="N60" s="65"/>
      <c r="O60" s="65"/>
      <c r="P60" s="65"/>
      <c r="Q60" s="65"/>
      <c r="R60" s="65"/>
      <c r="S60" s="65"/>
      <c r="T60" s="65"/>
      <c r="U60" s="65"/>
      <c r="V60" s="65"/>
      <c r="W60" s="65"/>
      <c r="X60" s="65"/>
      <c r="Y60" s="65"/>
      <c r="Z60" s="66"/>
      <c r="AA60" s="66"/>
      <c r="AB60" s="66"/>
    </row>
    <row r="61" hidden="1" outlineLevel="1">
      <c r="A61" s="71"/>
      <c r="B61" s="74"/>
      <c r="C61" s="75"/>
      <c r="D61" s="76"/>
      <c r="E61" s="77"/>
      <c r="F61" s="78"/>
      <c r="G61" s="79"/>
      <c r="H61" s="80"/>
      <c r="I61" s="81"/>
      <c r="J61" s="82"/>
      <c r="K61" s="83"/>
      <c r="L61" s="84">
        <f t="shared" si="18"/>
        <v>50</v>
      </c>
      <c r="M61" s="65"/>
      <c r="N61" s="65"/>
      <c r="O61" s="65"/>
      <c r="P61" s="65"/>
      <c r="Q61" s="65"/>
      <c r="R61" s="65"/>
      <c r="S61" s="65"/>
      <c r="T61" s="65"/>
      <c r="U61" s="65"/>
      <c r="V61" s="65"/>
      <c r="W61" s="65"/>
      <c r="X61" s="65"/>
      <c r="Y61" s="65"/>
      <c r="Z61" s="66"/>
      <c r="AA61" s="66"/>
      <c r="AB61" s="66"/>
    </row>
    <row r="62" hidden="1" outlineLevel="1">
      <c r="A62" s="71">
        <v>46440.0</v>
      </c>
      <c r="B62" s="74">
        <v>0.1</v>
      </c>
      <c r="C62" s="75">
        <v>0.1</v>
      </c>
      <c r="D62" s="76">
        <v>0.05</v>
      </c>
      <c r="E62" s="77">
        <v>3.0</v>
      </c>
      <c r="F62" s="78">
        <v>1000.0</v>
      </c>
      <c r="G62" s="79">
        <f t="shared" ref="G62:G66" si="25">L61*C62</f>
        <v>5</v>
      </c>
      <c r="H62" s="80">
        <f t="shared" ref="H62:H66" si="26">L61*D62</f>
        <v>2.5</v>
      </c>
      <c r="I62" s="81">
        <f t="shared" ref="I62:I66" si="27">(J62/L61)*100</f>
        <v>0</v>
      </c>
      <c r="J62" s="82"/>
      <c r="K62" s="83"/>
      <c r="L62" s="84">
        <f t="shared" si="18"/>
        <v>50</v>
      </c>
      <c r="M62" s="65"/>
      <c r="N62" s="65"/>
      <c r="O62" s="65"/>
      <c r="P62" s="65"/>
      <c r="Q62" s="65"/>
      <c r="R62" s="65"/>
      <c r="S62" s="65"/>
      <c r="T62" s="65"/>
      <c r="U62" s="65"/>
      <c r="V62" s="65"/>
      <c r="W62" s="65"/>
      <c r="X62" s="65"/>
      <c r="Y62" s="65"/>
      <c r="Z62" s="66"/>
      <c r="AA62" s="66"/>
      <c r="AB62" s="66"/>
    </row>
    <row r="63" hidden="1" outlineLevel="1">
      <c r="A63" s="71">
        <v>46441.0</v>
      </c>
      <c r="B63" s="74">
        <v>0.1</v>
      </c>
      <c r="C63" s="75">
        <v>0.1</v>
      </c>
      <c r="D63" s="76">
        <v>0.05</v>
      </c>
      <c r="E63" s="77">
        <v>3.0</v>
      </c>
      <c r="F63" s="78">
        <v>1000.0</v>
      </c>
      <c r="G63" s="79">
        <f t="shared" si="25"/>
        <v>5</v>
      </c>
      <c r="H63" s="80">
        <f t="shared" si="26"/>
        <v>2.5</v>
      </c>
      <c r="I63" s="81">
        <f t="shared" si="27"/>
        <v>0</v>
      </c>
      <c r="J63" s="82"/>
      <c r="K63" s="83"/>
      <c r="L63" s="84">
        <f t="shared" si="18"/>
        <v>50</v>
      </c>
      <c r="M63" s="65"/>
      <c r="N63" s="65"/>
      <c r="O63" s="65"/>
      <c r="P63" s="65"/>
      <c r="Q63" s="65"/>
      <c r="R63" s="65"/>
      <c r="S63" s="65"/>
      <c r="T63" s="65"/>
      <c r="U63" s="65"/>
      <c r="V63" s="65"/>
      <c r="W63" s="65"/>
      <c r="X63" s="65"/>
      <c r="Y63" s="65"/>
      <c r="Z63" s="66"/>
      <c r="AA63" s="66"/>
      <c r="AB63" s="66"/>
    </row>
    <row r="64" hidden="1" outlineLevel="1">
      <c r="A64" s="71">
        <v>46442.0</v>
      </c>
      <c r="B64" s="74">
        <v>0.1</v>
      </c>
      <c r="C64" s="75">
        <v>0.1</v>
      </c>
      <c r="D64" s="76">
        <v>0.05</v>
      </c>
      <c r="E64" s="77">
        <v>3.0</v>
      </c>
      <c r="F64" s="78">
        <v>1000.0</v>
      </c>
      <c r="G64" s="79">
        <f t="shared" si="25"/>
        <v>5</v>
      </c>
      <c r="H64" s="80">
        <f t="shared" si="26"/>
        <v>2.5</v>
      </c>
      <c r="I64" s="81">
        <f t="shared" si="27"/>
        <v>0</v>
      </c>
      <c r="J64" s="82"/>
      <c r="K64" s="83"/>
      <c r="L64" s="84">
        <f t="shared" si="18"/>
        <v>50</v>
      </c>
      <c r="M64" s="65"/>
      <c r="N64" s="65"/>
      <c r="O64" s="65"/>
      <c r="P64" s="65"/>
      <c r="Q64" s="65"/>
      <c r="R64" s="65"/>
      <c r="S64" s="65"/>
      <c r="T64" s="65"/>
      <c r="U64" s="65"/>
      <c r="V64" s="65"/>
      <c r="W64" s="65"/>
      <c r="X64" s="65"/>
      <c r="Y64" s="65"/>
      <c r="Z64" s="66"/>
      <c r="AA64" s="66"/>
      <c r="AB64" s="66"/>
    </row>
    <row r="65" hidden="1" outlineLevel="1">
      <c r="A65" s="71">
        <v>46443.0</v>
      </c>
      <c r="B65" s="74">
        <v>0.1</v>
      </c>
      <c r="C65" s="75">
        <v>0.1</v>
      </c>
      <c r="D65" s="76">
        <v>0.05</v>
      </c>
      <c r="E65" s="77">
        <v>3.0</v>
      </c>
      <c r="F65" s="78">
        <v>1000.0</v>
      </c>
      <c r="G65" s="79">
        <f t="shared" si="25"/>
        <v>5</v>
      </c>
      <c r="H65" s="80">
        <f t="shared" si="26"/>
        <v>2.5</v>
      </c>
      <c r="I65" s="81">
        <f t="shared" si="27"/>
        <v>0</v>
      </c>
      <c r="J65" s="82"/>
      <c r="K65" s="83"/>
      <c r="L65" s="84">
        <f t="shared" si="18"/>
        <v>50</v>
      </c>
      <c r="M65" s="65"/>
      <c r="N65" s="65"/>
      <c r="O65" s="65"/>
      <c r="P65" s="65"/>
      <c r="Q65" s="65"/>
      <c r="R65" s="65"/>
      <c r="S65" s="65"/>
      <c r="T65" s="65"/>
      <c r="U65" s="65"/>
      <c r="V65" s="65"/>
      <c r="W65" s="65"/>
      <c r="X65" s="65"/>
      <c r="Y65" s="65"/>
      <c r="Z65" s="66"/>
      <c r="AA65" s="66"/>
      <c r="AB65" s="66"/>
    </row>
    <row r="66" hidden="1" outlineLevel="1">
      <c r="A66" s="71">
        <v>46444.0</v>
      </c>
      <c r="B66" s="74">
        <v>0.1</v>
      </c>
      <c r="C66" s="75">
        <v>0.1</v>
      </c>
      <c r="D66" s="76">
        <v>0.05</v>
      </c>
      <c r="E66" s="77">
        <v>3.0</v>
      </c>
      <c r="F66" s="78">
        <v>1000.0</v>
      </c>
      <c r="G66" s="79">
        <f t="shared" si="25"/>
        <v>5</v>
      </c>
      <c r="H66" s="80">
        <f t="shared" si="26"/>
        <v>2.5</v>
      </c>
      <c r="I66" s="81">
        <f t="shared" si="27"/>
        <v>0</v>
      </c>
      <c r="J66" s="82"/>
      <c r="K66" s="83"/>
      <c r="L66" s="84">
        <f t="shared" si="18"/>
        <v>50</v>
      </c>
      <c r="M66" s="65"/>
      <c r="N66" s="65"/>
      <c r="O66" s="65"/>
      <c r="P66" s="65"/>
      <c r="Q66" s="65"/>
      <c r="R66" s="65"/>
      <c r="S66" s="65"/>
      <c r="T66" s="65"/>
      <c r="U66" s="65"/>
      <c r="V66" s="65"/>
      <c r="W66" s="65"/>
      <c r="X66" s="65"/>
      <c r="Y66" s="65"/>
      <c r="Z66" s="66"/>
      <c r="AA66" s="66"/>
      <c r="AB66" s="66"/>
    </row>
    <row r="67" hidden="1" outlineLevel="1">
      <c r="A67" s="71"/>
      <c r="B67" s="74"/>
      <c r="C67" s="75"/>
      <c r="D67" s="76"/>
      <c r="E67" s="77"/>
      <c r="F67" s="78"/>
      <c r="G67" s="79"/>
      <c r="H67" s="80"/>
      <c r="I67" s="81"/>
      <c r="J67" s="82"/>
      <c r="K67" s="83"/>
      <c r="L67" s="84">
        <f t="shared" si="18"/>
        <v>50</v>
      </c>
      <c r="M67" s="65"/>
      <c r="N67" s="65"/>
      <c r="O67" s="65"/>
      <c r="P67" s="65"/>
      <c r="Q67" s="65"/>
      <c r="R67" s="65"/>
      <c r="S67" s="65"/>
      <c r="T67" s="65"/>
      <c r="U67" s="65"/>
      <c r="V67" s="65"/>
      <c r="W67" s="65"/>
      <c r="X67" s="65"/>
      <c r="Y67" s="65"/>
      <c r="Z67" s="66"/>
      <c r="AA67" s="66"/>
      <c r="AB67" s="66"/>
    </row>
    <row r="68" hidden="1" outlineLevel="1">
      <c r="A68" s="71"/>
      <c r="B68" s="74"/>
      <c r="C68" s="75"/>
      <c r="D68" s="76"/>
      <c r="E68" s="77"/>
      <c r="F68" s="78"/>
      <c r="G68" s="79"/>
      <c r="H68" s="80"/>
      <c r="I68" s="81"/>
      <c r="J68" s="82"/>
      <c r="K68" s="83"/>
      <c r="L68" s="84">
        <f t="shared" si="18"/>
        <v>50</v>
      </c>
      <c r="M68" s="65"/>
      <c r="N68" s="65"/>
      <c r="O68" s="65"/>
      <c r="P68" s="65"/>
      <c r="Q68" s="65"/>
      <c r="R68" s="65"/>
      <c r="S68" s="65"/>
      <c r="T68" s="65"/>
      <c r="U68" s="65"/>
      <c r="V68" s="65"/>
      <c r="W68" s="65"/>
      <c r="X68" s="65"/>
      <c r="Y68" s="65"/>
      <c r="Z68" s="66"/>
      <c r="AA68" s="66"/>
      <c r="AB68" s="66"/>
    </row>
    <row r="69" hidden="1" outlineLevel="1">
      <c r="A69" s="85" t="s">
        <v>41</v>
      </c>
      <c r="C69" s="86">
        <f>SUM(C41:C68)</f>
        <v>2</v>
      </c>
      <c r="D69" s="87"/>
      <c r="E69" s="87"/>
      <c r="F69" s="87"/>
      <c r="G69" s="87"/>
      <c r="H69" s="87"/>
      <c r="I69" s="88">
        <f t="shared" ref="I69:K69" si="28">SUM(I41:I68)</f>
        <v>0</v>
      </c>
      <c r="J69" s="89">
        <f t="shared" si="28"/>
        <v>0</v>
      </c>
      <c r="K69" s="87">
        <f t="shared" si="28"/>
        <v>0</v>
      </c>
      <c r="L69" s="89">
        <f>L68</f>
        <v>50</v>
      </c>
      <c r="M69" s="65"/>
      <c r="N69" s="65"/>
      <c r="O69" s="65"/>
      <c r="P69" s="65"/>
      <c r="Q69" s="65"/>
      <c r="R69" s="65"/>
      <c r="S69" s="65"/>
      <c r="T69" s="65"/>
      <c r="U69" s="65"/>
      <c r="V69" s="65"/>
      <c r="W69" s="65"/>
      <c r="X69" s="65"/>
      <c r="Y69" s="65"/>
      <c r="Z69" s="66"/>
      <c r="AA69" s="66"/>
      <c r="AB69" s="66"/>
    </row>
    <row r="70">
      <c r="A70" s="95"/>
      <c r="B70" s="92"/>
      <c r="C70" s="92"/>
      <c r="D70" s="92"/>
      <c r="E70" s="92"/>
      <c r="F70" s="92"/>
      <c r="G70" s="92"/>
      <c r="H70" s="92"/>
      <c r="I70" s="92"/>
      <c r="J70" s="92"/>
      <c r="K70" s="94">
        <f>SUM(K41:K68)</f>
        <v>0</v>
      </c>
      <c r="L70" s="92"/>
      <c r="M70" s="65"/>
      <c r="N70" s="65"/>
      <c r="O70" s="65"/>
      <c r="P70" s="65"/>
      <c r="Q70" s="65"/>
      <c r="R70" s="65"/>
      <c r="S70" s="65"/>
      <c r="T70" s="65"/>
      <c r="U70" s="65"/>
      <c r="V70" s="65"/>
      <c r="W70" s="65"/>
      <c r="X70" s="65"/>
      <c r="Y70" s="65"/>
      <c r="Z70" s="66"/>
      <c r="AA70" s="66"/>
      <c r="AB70" s="66"/>
    </row>
    <row r="71" collapsed="1">
      <c r="A71" s="57" t="s">
        <v>44</v>
      </c>
      <c r="M71" s="65"/>
      <c r="N71" s="65"/>
      <c r="O71" s="65"/>
      <c r="P71" s="65"/>
      <c r="Q71" s="65"/>
      <c r="R71" s="65"/>
      <c r="S71" s="65"/>
      <c r="T71" s="65"/>
      <c r="U71" s="65"/>
      <c r="V71" s="65"/>
      <c r="W71" s="65"/>
      <c r="X71" s="65"/>
      <c r="Y71" s="65"/>
      <c r="Z71" s="66"/>
      <c r="AA71" s="66"/>
      <c r="AB71" s="66"/>
    </row>
    <row r="72" hidden="1" outlineLevel="1">
      <c r="A72" s="71" t="s">
        <v>29</v>
      </c>
      <c r="B72" s="57" t="s">
        <v>30</v>
      </c>
      <c r="C72" s="57" t="s">
        <v>31</v>
      </c>
      <c r="D72" s="72" t="s">
        <v>32</v>
      </c>
      <c r="E72" s="72" t="s">
        <v>33</v>
      </c>
      <c r="F72" s="72" t="s">
        <v>34</v>
      </c>
      <c r="G72" s="73" t="s">
        <v>35</v>
      </c>
      <c r="H72" s="72" t="s">
        <v>36</v>
      </c>
      <c r="I72" s="57" t="s">
        <v>37</v>
      </c>
      <c r="J72" s="74" t="s">
        <v>38</v>
      </c>
      <c r="K72" s="57" t="s">
        <v>39</v>
      </c>
      <c r="L72" s="57" t="s">
        <v>40</v>
      </c>
      <c r="M72" s="65"/>
      <c r="N72" s="65"/>
      <c r="O72" s="65"/>
      <c r="P72" s="65"/>
      <c r="Q72" s="65"/>
      <c r="R72" s="65"/>
      <c r="S72" s="65"/>
      <c r="T72" s="65"/>
      <c r="U72" s="65"/>
      <c r="V72" s="65"/>
      <c r="W72" s="65"/>
      <c r="X72" s="65"/>
      <c r="Y72" s="65"/>
      <c r="Z72" s="66"/>
      <c r="AA72" s="66"/>
      <c r="AB72" s="66"/>
    </row>
    <row r="73" hidden="1" outlineLevel="1">
      <c r="A73" s="71">
        <v>46447.0</v>
      </c>
      <c r="B73" s="74">
        <v>0.1</v>
      </c>
      <c r="C73" s="75">
        <v>0.1</v>
      </c>
      <c r="D73" s="76">
        <v>0.05</v>
      </c>
      <c r="E73" s="77">
        <v>3.0</v>
      </c>
      <c r="F73" s="78">
        <v>1000.0</v>
      </c>
      <c r="G73" s="79">
        <f>L69*C73</f>
        <v>5</v>
      </c>
      <c r="H73" s="80">
        <f>L69*D73</f>
        <v>2.5</v>
      </c>
      <c r="I73" s="81">
        <f>(J73/L69)*100</f>
        <v>0</v>
      </c>
      <c r="J73" s="82"/>
      <c r="K73" s="83"/>
      <c r="L73" s="84">
        <f>(L69+J73)-K73</f>
        <v>50</v>
      </c>
      <c r="M73" s="65"/>
      <c r="N73" s="65"/>
      <c r="O73" s="65"/>
      <c r="P73" s="65"/>
      <c r="Q73" s="65"/>
      <c r="R73" s="65"/>
      <c r="S73" s="65"/>
      <c r="T73" s="65"/>
      <c r="U73" s="65"/>
      <c r="V73" s="65"/>
      <c r="W73" s="65"/>
      <c r="X73" s="65"/>
      <c r="Y73" s="65"/>
      <c r="Z73" s="66"/>
      <c r="AA73" s="66"/>
      <c r="AB73" s="66"/>
    </row>
    <row r="74" hidden="1" outlineLevel="1">
      <c r="A74" s="71">
        <v>46448.0</v>
      </c>
      <c r="B74" s="74">
        <v>0.1</v>
      </c>
      <c r="C74" s="75">
        <v>0.1</v>
      </c>
      <c r="D74" s="76">
        <v>0.05</v>
      </c>
      <c r="E74" s="77">
        <v>3.0</v>
      </c>
      <c r="F74" s="78">
        <v>1000.0</v>
      </c>
      <c r="G74" s="79">
        <f t="shared" ref="G74:G103" si="29">L73*C74</f>
        <v>5</v>
      </c>
      <c r="H74" s="80">
        <f t="shared" ref="H74:H103" si="30">L73*D74</f>
        <v>2.5</v>
      </c>
      <c r="I74" s="81">
        <f t="shared" ref="I74:I103" si="31">(J74/L73)*100</f>
        <v>0</v>
      </c>
      <c r="J74" s="82"/>
      <c r="K74" s="83"/>
      <c r="L74" s="84">
        <f t="shared" ref="L74:L103" si="32">(L73+J74)-K74</f>
        <v>50</v>
      </c>
      <c r="M74" s="65"/>
      <c r="N74" s="65"/>
      <c r="O74" s="65"/>
      <c r="P74" s="65"/>
      <c r="Q74" s="65"/>
      <c r="R74" s="65"/>
      <c r="S74" s="65"/>
      <c r="T74" s="65"/>
      <c r="U74" s="65"/>
      <c r="V74" s="65"/>
      <c r="W74" s="65"/>
      <c r="X74" s="65"/>
      <c r="Y74" s="65"/>
      <c r="Z74" s="66"/>
      <c r="AA74" s="66"/>
      <c r="AB74" s="66"/>
    </row>
    <row r="75" hidden="1" outlineLevel="1">
      <c r="A75" s="71">
        <v>46449.0</v>
      </c>
      <c r="B75" s="74">
        <v>0.1</v>
      </c>
      <c r="C75" s="75">
        <v>0.1</v>
      </c>
      <c r="D75" s="76">
        <v>0.05</v>
      </c>
      <c r="E75" s="77">
        <v>3.0</v>
      </c>
      <c r="F75" s="78">
        <v>1000.0</v>
      </c>
      <c r="G75" s="79">
        <f t="shared" si="29"/>
        <v>5</v>
      </c>
      <c r="H75" s="80">
        <f t="shared" si="30"/>
        <v>2.5</v>
      </c>
      <c r="I75" s="81">
        <f t="shared" si="31"/>
        <v>0</v>
      </c>
      <c r="J75" s="82"/>
      <c r="K75" s="83"/>
      <c r="L75" s="84">
        <f t="shared" si="32"/>
        <v>50</v>
      </c>
      <c r="M75" s="65"/>
      <c r="N75" s="65"/>
      <c r="O75" s="65"/>
      <c r="P75" s="65"/>
      <c r="Q75" s="65"/>
      <c r="R75" s="65"/>
      <c r="S75" s="65"/>
      <c r="T75" s="65"/>
      <c r="U75" s="65"/>
      <c r="V75" s="65"/>
      <c r="W75" s="65"/>
      <c r="X75" s="65"/>
      <c r="Y75" s="65"/>
      <c r="Z75" s="66"/>
      <c r="AA75" s="66"/>
      <c r="AB75" s="66"/>
    </row>
    <row r="76" hidden="1" outlineLevel="1">
      <c r="A76" s="71">
        <v>46450.0</v>
      </c>
      <c r="B76" s="74">
        <v>0.1</v>
      </c>
      <c r="C76" s="75">
        <v>0.1</v>
      </c>
      <c r="D76" s="76">
        <v>0.05</v>
      </c>
      <c r="E76" s="77">
        <v>3.0</v>
      </c>
      <c r="F76" s="78">
        <v>1000.0</v>
      </c>
      <c r="G76" s="79">
        <f t="shared" si="29"/>
        <v>5</v>
      </c>
      <c r="H76" s="80">
        <f t="shared" si="30"/>
        <v>2.5</v>
      </c>
      <c r="I76" s="81">
        <f t="shared" si="31"/>
        <v>0</v>
      </c>
      <c r="J76" s="82"/>
      <c r="K76" s="83"/>
      <c r="L76" s="84">
        <f t="shared" si="32"/>
        <v>50</v>
      </c>
      <c r="M76" s="65"/>
      <c r="N76" s="65"/>
      <c r="O76" s="65"/>
      <c r="P76" s="65"/>
      <c r="Q76" s="65"/>
      <c r="R76" s="65"/>
      <c r="S76" s="65"/>
      <c r="T76" s="65"/>
      <c r="U76" s="65"/>
      <c r="V76" s="65"/>
      <c r="W76" s="65"/>
      <c r="X76" s="65"/>
      <c r="Y76" s="65"/>
      <c r="Z76" s="66"/>
      <c r="AA76" s="66"/>
      <c r="AB76" s="66"/>
    </row>
    <row r="77" hidden="1" outlineLevel="1">
      <c r="A77" s="71">
        <v>46451.0</v>
      </c>
      <c r="B77" s="74">
        <v>0.1</v>
      </c>
      <c r="C77" s="75">
        <v>0.1</v>
      </c>
      <c r="D77" s="76">
        <v>0.05</v>
      </c>
      <c r="E77" s="77">
        <v>3.0</v>
      </c>
      <c r="F77" s="78">
        <v>1000.0</v>
      </c>
      <c r="G77" s="79">
        <f t="shared" si="29"/>
        <v>5</v>
      </c>
      <c r="H77" s="80">
        <f t="shared" si="30"/>
        <v>2.5</v>
      </c>
      <c r="I77" s="81">
        <f t="shared" si="31"/>
        <v>0</v>
      </c>
      <c r="J77" s="82"/>
      <c r="K77" s="83"/>
      <c r="L77" s="84">
        <f t="shared" si="32"/>
        <v>50</v>
      </c>
      <c r="M77" s="65"/>
      <c r="N77" s="65"/>
      <c r="O77" s="65"/>
      <c r="P77" s="65"/>
      <c r="Q77" s="65"/>
      <c r="R77" s="65"/>
      <c r="S77" s="65"/>
      <c r="T77" s="65"/>
      <c r="U77" s="65"/>
      <c r="V77" s="65"/>
      <c r="W77" s="65"/>
      <c r="X77" s="65"/>
      <c r="Y77" s="65"/>
      <c r="Z77" s="66"/>
      <c r="AA77" s="66"/>
      <c r="AB77" s="66"/>
    </row>
    <row r="78" hidden="1" outlineLevel="1">
      <c r="A78" s="71">
        <v>46452.0</v>
      </c>
      <c r="B78" s="74">
        <v>0.1</v>
      </c>
      <c r="C78" s="75">
        <v>0.1</v>
      </c>
      <c r="D78" s="76">
        <v>0.05</v>
      </c>
      <c r="E78" s="77">
        <v>3.0</v>
      </c>
      <c r="F78" s="78">
        <v>1000.0</v>
      </c>
      <c r="G78" s="79">
        <f t="shared" si="29"/>
        <v>5</v>
      </c>
      <c r="H78" s="80">
        <f t="shared" si="30"/>
        <v>2.5</v>
      </c>
      <c r="I78" s="81">
        <f t="shared" si="31"/>
        <v>0</v>
      </c>
      <c r="J78" s="82"/>
      <c r="K78" s="83"/>
      <c r="L78" s="84">
        <f t="shared" si="32"/>
        <v>50</v>
      </c>
      <c r="M78" s="65"/>
      <c r="N78" s="65"/>
      <c r="O78" s="65"/>
      <c r="P78" s="65"/>
      <c r="Q78" s="65"/>
      <c r="R78" s="65"/>
      <c r="S78" s="65"/>
      <c r="T78" s="65"/>
      <c r="U78" s="65"/>
      <c r="V78" s="65"/>
      <c r="W78" s="65"/>
      <c r="X78" s="65"/>
      <c r="Y78" s="65"/>
      <c r="Z78" s="66"/>
      <c r="AA78" s="66"/>
      <c r="AB78" s="66"/>
    </row>
    <row r="79" hidden="1" outlineLevel="1">
      <c r="A79" s="71">
        <v>46453.0</v>
      </c>
      <c r="B79" s="74">
        <v>0.1</v>
      </c>
      <c r="C79" s="75">
        <v>0.1</v>
      </c>
      <c r="D79" s="76">
        <v>0.05</v>
      </c>
      <c r="E79" s="77">
        <v>3.0</v>
      </c>
      <c r="F79" s="78">
        <v>1000.0</v>
      </c>
      <c r="G79" s="79">
        <f t="shared" si="29"/>
        <v>5</v>
      </c>
      <c r="H79" s="80">
        <f t="shared" si="30"/>
        <v>2.5</v>
      </c>
      <c r="I79" s="81">
        <f t="shared" si="31"/>
        <v>0</v>
      </c>
      <c r="J79" s="82"/>
      <c r="K79" s="83"/>
      <c r="L79" s="84">
        <f t="shared" si="32"/>
        <v>50</v>
      </c>
      <c r="M79" s="65"/>
      <c r="N79" s="65"/>
      <c r="O79" s="65"/>
      <c r="P79" s="65"/>
      <c r="Q79" s="65"/>
      <c r="R79" s="65"/>
      <c r="S79" s="65"/>
      <c r="T79" s="65"/>
      <c r="U79" s="65"/>
      <c r="V79" s="65"/>
      <c r="W79" s="65"/>
      <c r="X79" s="65"/>
      <c r="Y79" s="65"/>
      <c r="Z79" s="66"/>
      <c r="AA79" s="66"/>
      <c r="AB79" s="66"/>
    </row>
    <row r="80" hidden="1" outlineLevel="1">
      <c r="A80" s="71">
        <v>46454.0</v>
      </c>
      <c r="B80" s="74">
        <v>0.1</v>
      </c>
      <c r="C80" s="75">
        <v>0.1</v>
      </c>
      <c r="D80" s="76">
        <v>0.05</v>
      </c>
      <c r="E80" s="77">
        <v>3.0</v>
      </c>
      <c r="F80" s="78">
        <v>1000.0</v>
      </c>
      <c r="G80" s="79">
        <f t="shared" si="29"/>
        <v>5</v>
      </c>
      <c r="H80" s="80">
        <f t="shared" si="30"/>
        <v>2.5</v>
      </c>
      <c r="I80" s="81">
        <f t="shared" si="31"/>
        <v>0</v>
      </c>
      <c r="J80" s="82"/>
      <c r="K80" s="83"/>
      <c r="L80" s="84">
        <f t="shared" si="32"/>
        <v>50</v>
      </c>
      <c r="M80" s="65"/>
      <c r="N80" s="65"/>
      <c r="O80" s="65"/>
      <c r="P80" s="65"/>
      <c r="Q80" s="65"/>
      <c r="R80" s="65"/>
      <c r="S80" s="65"/>
      <c r="T80" s="65"/>
      <c r="U80" s="65"/>
      <c r="V80" s="65"/>
      <c r="W80" s="65"/>
      <c r="X80" s="65"/>
      <c r="Y80" s="65"/>
      <c r="Z80" s="66"/>
      <c r="AA80" s="66"/>
      <c r="AB80" s="66"/>
    </row>
    <row r="81" hidden="1" outlineLevel="1">
      <c r="A81" s="71">
        <v>46455.0</v>
      </c>
      <c r="B81" s="74">
        <v>0.1</v>
      </c>
      <c r="C81" s="75">
        <v>0.1</v>
      </c>
      <c r="D81" s="76">
        <v>0.05</v>
      </c>
      <c r="E81" s="77">
        <v>3.0</v>
      </c>
      <c r="F81" s="78">
        <v>1000.0</v>
      </c>
      <c r="G81" s="79">
        <f t="shared" si="29"/>
        <v>5</v>
      </c>
      <c r="H81" s="80">
        <f t="shared" si="30"/>
        <v>2.5</v>
      </c>
      <c r="I81" s="81">
        <f t="shared" si="31"/>
        <v>0</v>
      </c>
      <c r="J81" s="82"/>
      <c r="K81" s="83"/>
      <c r="L81" s="84">
        <f t="shared" si="32"/>
        <v>50</v>
      </c>
      <c r="M81" s="65"/>
      <c r="N81" s="65"/>
      <c r="O81" s="65"/>
      <c r="P81" s="65"/>
      <c r="Q81" s="65"/>
      <c r="R81" s="65"/>
      <c r="S81" s="65"/>
      <c r="T81" s="65"/>
      <c r="U81" s="65"/>
      <c r="V81" s="65"/>
      <c r="W81" s="65"/>
      <c r="X81" s="65"/>
      <c r="Y81" s="65"/>
      <c r="Z81" s="66"/>
      <c r="AA81" s="66"/>
      <c r="AB81" s="66"/>
    </row>
    <row r="82" hidden="1" outlineLevel="1">
      <c r="A82" s="71">
        <v>46456.0</v>
      </c>
      <c r="B82" s="74">
        <v>0.1</v>
      </c>
      <c r="C82" s="75">
        <v>0.1</v>
      </c>
      <c r="D82" s="76">
        <v>0.05</v>
      </c>
      <c r="E82" s="77">
        <v>3.0</v>
      </c>
      <c r="F82" s="78">
        <v>1000.0</v>
      </c>
      <c r="G82" s="79">
        <f t="shared" si="29"/>
        <v>5</v>
      </c>
      <c r="H82" s="80">
        <f t="shared" si="30"/>
        <v>2.5</v>
      </c>
      <c r="I82" s="81">
        <f t="shared" si="31"/>
        <v>0</v>
      </c>
      <c r="J82" s="82"/>
      <c r="K82" s="83"/>
      <c r="L82" s="84">
        <f t="shared" si="32"/>
        <v>50</v>
      </c>
      <c r="M82" s="65"/>
      <c r="N82" s="65"/>
      <c r="O82" s="65"/>
      <c r="P82" s="65"/>
      <c r="Q82" s="65"/>
      <c r="R82" s="65"/>
      <c r="S82" s="65"/>
      <c r="T82" s="65"/>
      <c r="U82" s="65"/>
      <c r="V82" s="65"/>
      <c r="W82" s="65"/>
      <c r="X82" s="65"/>
      <c r="Y82" s="65"/>
      <c r="Z82" s="66"/>
      <c r="AA82" s="66"/>
      <c r="AB82" s="66"/>
    </row>
    <row r="83" hidden="1" outlineLevel="1">
      <c r="A83" s="71">
        <v>46457.0</v>
      </c>
      <c r="B83" s="74">
        <v>0.1</v>
      </c>
      <c r="C83" s="75">
        <v>0.1</v>
      </c>
      <c r="D83" s="76">
        <v>0.05</v>
      </c>
      <c r="E83" s="77">
        <v>3.0</v>
      </c>
      <c r="F83" s="78">
        <v>1000.0</v>
      </c>
      <c r="G83" s="79">
        <f t="shared" si="29"/>
        <v>5</v>
      </c>
      <c r="H83" s="80">
        <f t="shared" si="30"/>
        <v>2.5</v>
      </c>
      <c r="I83" s="81">
        <f t="shared" si="31"/>
        <v>0</v>
      </c>
      <c r="J83" s="82"/>
      <c r="K83" s="83"/>
      <c r="L83" s="84">
        <f t="shared" si="32"/>
        <v>50</v>
      </c>
      <c r="M83" s="65"/>
      <c r="N83" s="65"/>
      <c r="O83" s="65"/>
      <c r="P83" s="65"/>
      <c r="Q83" s="65"/>
      <c r="R83" s="65"/>
      <c r="S83" s="65"/>
      <c r="T83" s="65"/>
      <c r="U83" s="65"/>
      <c r="V83" s="65"/>
      <c r="W83" s="65"/>
      <c r="X83" s="65"/>
      <c r="Y83" s="65"/>
      <c r="Z83" s="66"/>
      <c r="AA83" s="66"/>
      <c r="AB83" s="66"/>
    </row>
    <row r="84" hidden="1" outlineLevel="1">
      <c r="A84" s="71">
        <v>46458.0</v>
      </c>
      <c r="B84" s="74">
        <v>0.1</v>
      </c>
      <c r="C84" s="75">
        <v>0.1</v>
      </c>
      <c r="D84" s="76">
        <v>0.05</v>
      </c>
      <c r="E84" s="77">
        <v>3.0</v>
      </c>
      <c r="F84" s="78">
        <v>1000.0</v>
      </c>
      <c r="G84" s="79">
        <f t="shared" si="29"/>
        <v>5</v>
      </c>
      <c r="H84" s="80">
        <f t="shared" si="30"/>
        <v>2.5</v>
      </c>
      <c r="I84" s="81">
        <f t="shared" si="31"/>
        <v>0</v>
      </c>
      <c r="J84" s="82"/>
      <c r="K84" s="83"/>
      <c r="L84" s="84">
        <f t="shared" si="32"/>
        <v>50</v>
      </c>
      <c r="M84" s="65"/>
      <c r="N84" s="65"/>
      <c r="O84" s="65"/>
      <c r="P84" s="65"/>
      <c r="Q84" s="65"/>
      <c r="R84" s="65"/>
      <c r="S84" s="65"/>
      <c r="T84" s="65"/>
      <c r="U84" s="65"/>
      <c r="V84" s="65"/>
      <c r="W84" s="65"/>
      <c r="X84" s="65"/>
      <c r="Y84" s="65"/>
      <c r="Z84" s="66"/>
      <c r="AA84" s="66"/>
      <c r="AB84" s="66"/>
    </row>
    <row r="85" hidden="1" outlineLevel="1">
      <c r="A85" s="71">
        <v>46459.0</v>
      </c>
      <c r="B85" s="74">
        <v>0.1</v>
      </c>
      <c r="C85" s="75">
        <v>0.1</v>
      </c>
      <c r="D85" s="76">
        <v>0.05</v>
      </c>
      <c r="E85" s="77">
        <v>3.0</v>
      </c>
      <c r="F85" s="78">
        <v>1000.0</v>
      </c>
      <c r="G85" s="79">
        <f t="shared" si="29"/>
        <v>5</v>
      </c>
      <c r="H85" s="80">
        <f t="shared" si="30"/>
        <v>2.5</v>
      </c>
      <c r="I85" s="81">
        <f t="shared" si="31"/>
        <v>0</v>
      </c>
      <c r="J85" s="82"/>
      <c r="K85" s="83"/>
      <c r="L85" s="84">
        <f t="shared" si="32"/>
        <v>50</v>
      </c>
      <c r="M85" s="65"/>
      <c r="N85" s="65"/>
      <c r="O85" s="65"/>
      <c r="P85" s="65"/>
      <c r="Q85" s="65"/>
      <c r="R85" s="65"/>
      <c r="S85" s="65"/>
      <c r="T85" s="65"/>
      <c r="U85" s="65"/>
      <c r="V85" s="65"/>
      <c r="W85" s="65"/>
      <c r="X85" s="65"/>
      <c r="Y85" s="65"/>
      <c r="Z85" s="66"/>
      <c r="AA85" s="66"/>
      <c r="AB85" s="66"/>
    </row>
    <row r="86" hidden="1" outlineLevel="1">
      <c r="A86" s="71">
        <v>46460.0</v>
      </c>
      <c r="B86" s="74">
        <v>0.1</v>
      </c>
      <c r="C86" s="75">
        <v>0.1</v>
      </c>
      <c r="D86" s="76">
        <v>0.05</v>
      </c>
      <c r="E86" s="77">
        <v>3.0</v>
      </c>
      <c r="F86" s="78">
        <v>1000.0</v>
      </c>
      <c r="G86" s="79">
        <f t="shared" si="29"/>
        <v>5</v>
      </c>
      <c r="H86" s="80">
        <f t="shared" si="30"/>
        <v>2.5</v>
      </c>
      <c r="I86" s="81">
        <f t="shared" si="31"/>
        <v>0</v>
      </c>
      <c r="J86" s="82"/>
      <c r="K86" s="83"/>
      <c r="L86" s="84">
        <f t="shared" si="32"/>
        <v>50</v>
      </c>
      <c r="M86" s="65"/>
      <c r="N86" s="65"/>
      <c r="O86" s="65"/>
      <c r="P86" s="65"/>
      <c r="Q86" s="65"/>
      <c r="R86" s="65"/>
      <c r="S86" s="65"/>
      <c r="T86" s="65"/>
      <c r="U86" s="65"/>
      <c r="V86" s="65"/>
      <c r="W86" s="65"/>
      <c r="X86" s="65"/>
      <c r="Y86" s="65"/>
      <c r="Z86" s="66"/>
      <c r="AA86" s="66"/>
      <c r="AB86" s="66"/>
    </row>
    <row r="87" hidden="1" outlineLevel="1">
      <c r="A87" s="71">
        <v>46461.0</v>
      </c>
      <c r="B87" s="74">
        <v>0.1</v>
      </c>
      <c r="C87" s="75">
        <v>0.1</v>
      </c>
      <c r="D87" s="76">
        <v>0.05</v>
      </c>
      <c r="E87" s="77">
        <v>3.0</v>
      </c>
      <c r="F87" s="78">
        <v>1000.0</v>
      </c>
      <c r="G87" s="79">
        <f t="shared" si="29"/>
        <v>5</v>
      </c>
      <c r="H87" s="80">
        <f t="shared" si="30"/>
        <v>2.5</v>
      </c>
      <c r="I87" s="81">
        <f t="shared" si="31"/>
        <v>0</v>
      </c>
      <c r="J87" s="82"/>
      <c r="K87" s="83"/>
      <c r="L87" s="84">
        <f t="shared" si="32"/>
        <v>50</v>
      </c>
      <c r="M87" s="65"/>
      <c r="N87" s="65"/>
      <c r="O87" s="65"/>
      <c r="P87" s="65"/>
      <c r="Q87" s="65"/>
      <c r="R87" s="65"/>
      <c r="S87" s="65"/>
      <c r="T87" s="65"/>
      <c r="U87" s="65"/>
      <c r="V87" s="65"/>
      <c r="W87" s="65"/>
      <c r="X87" s="65"/>
      <c r="Y87" s="65"/>
      <c r="Z87" s="66"/>
      <c r="AA87" s="66"/>
      <c r="AB87" s="66"/>
    </row>
    <row r="88" hidden="1" outlineLevel="1">
      <c r="A88" s="71">
        <v>46462.0</v>
      </c>
      <c r="B88" s="74">
        <v>0.1</v>
      </c>
      <c r="C88" s="75">
        <v>0.1</v>
      </c>
      <c r="D88" s="76">
        <v>0.05</v>
      </c>
      <c r="E88" s="77">
        <v>3.0</v>
      </c>
      <c r="F88" s="78">
        <v>1000.0</v>
      </c>
      <c r="G88" s="79">
        <f t="shared" si="29"/>
        <v>5</v>
      </c>
      <c r="H88" s="80">
        <f t="shared" si="30"/>
        <v>2.5</v>
      </c>
      <c r="I88" s="81">
        <f t="shared" si="31"/>
        <v>0</v>
      </c>
      <c r="J88" s="82"/>
      <c r="K88" s="83"/>
      <c r="L88" s="84">
        <f t="shared" si="32"/>
        <v>50</v>
      </c>
      <c r="M88" s="65"/>
      <c r="N88" s="65"/>
      <c r="O88" s="65"/>
      <c r="P88" s="65"/>
      <c r="Q88" s="65"/>
      <c r="R88" s="65"/>
      <c r="S88" s="65"/>
      <c r="T88" s="65"/>
      <c r="U88" s="65"/>
      <c r="V88" s="65"/>
      <c r="W88" s="65"/>
      <c r="X88" s="65"/>
      <c r="Y88" s="65"/>
      <c r="Z88" s="66"/>
      <c r="AA88" s="66"/>
      <c r="AB88" s="66"/>
    </row>
    <row r="89" hidden="1" outlineLevel="1">
      <c r="A89" s="71">
        <v>46463.0</v>
      </c>
      <c r="B89" s="74">
        <v>0.1</v>
      </c>
      <c r="C89" s="75">
        <v>0.1</v>
      </c>
      <c r="D89" s="76">
        <v>0.05</v>
      </c>
      <c r="E89" s="77">
        <v>3.0</v>
      </c>
      <c r="F89" s="78">
        <v>1000.0</v>
      </c>
      <c r="G89" s="79">
        <f t="shared" si="29"/>
        <v>5</v>
      </c>
      <c r="H89" s="80">
        <f t="shared" si="30"/>
        <v>2.5</v>
      </c>
      <c r="I89" s="81">
        <f t="shared" si="31"/>
        <v>0</v>
      </c>
      <c r="J89" s="82"/>
      <c r="K89" s="83"/>
      <c r="L89" s="84">
        <f t="shared" si="32"/>
        <v>50</v>
      </c>
      <c r="M89" s="65"/>
      <c r="N89" s="65"/>
      <c r="O89" s="65"/>
      <c r="P89" s="65"/>
      <c r="Q89" s="65"/>
      <c r="R89" s="65"/>
      <c r="S89" s="65"/>
      <c r="T89" s="65"/>
      <c r="U89" s="65"/>
      <c r="V89" s="65"/>
      <c r="W89" s="65"/>
      <c r="X89" s="65"/>
      <c r="Y89" s="65"/>
      <c r="Z89" s="66"/>
      <c r="AA89" s="66"/>
      <c r="AB89" s="66"/>
    </row>
    <row r="90" hidden="1" outlineLevel="1">
      <c r="A90" s="71">
        <v>46464.0</v>
      </c>
      <c r="B90" s="74">
        <v>0.1</v>
      </c>
      <c r="C90" s="75">
        <v>0.1</v>
      </c>
      <c r="D90" s="76">
        <v>0.05</v>
      </c>
      <c r="E90" s="77">
        <v>3.0</v>
      </c>
      <c r="F90" s="78">
        <v>1000.0</v>
      </c>
      <c r="G90" s="79">
        <f t="shared" si="29"/>
        <v>5</v>
      </c>
      <c r="H90" s="80">
        <f t="shared" si="30"/>
        <v>2.5</v>
      </c>
      <c r="I90" s="81">
        <f t="shared" si="31"/>
        <v>0</v>
      </c>
      <c r="J90" s="82"/>
      <c r="K90" s="83"/>
      <c r="L90" s="84">
        <f t="shared" si="32"/>
        <v>50</v>
      </c>
      <c r="M90" s="65"/>
      <c r="N90" s="65"/>
      <c r="O90" s="65"/>
      <c r="P90" s="65"/>
      <c r="Q90" s="65"/>
      <c r="R90" s="65"/>
      <c r="S90" s="65"/>
      <c r="T90" s="65"/>
      <c r="U90" s="65"/>
      <c r="V90" s="65"/>
      <c r="W90" s="65"/>
      <c r="X90" s="65"/>
      <c r="Y90" s="65"/>
      <c r="Z90" s="66"/>
      <c r="AA90" s="66"/>
      <c r="AB90" s="66"/>
    </row>
    <row r="91" hidden="1" outlineLevel="1">
      <c r="A91" s="71">
        <v>46465.0</v>
      </c>
      <c r="B91" s="74">
        <v>0.1</v>
      </c>
      <c r="C91" s="75">
        <v>0.1</v>
      </c>
      <c r="D91" s="76">
        <v>0.05</v>
      </c>
      <c r="E91" s="77">
        <v>3.0</v>
      </c>
      <c r="F91" s="78">
        <v>1000.0</v>
      </c>
      <c r="G91" s="79">
        <f t="shared" si="29"/>
        <v>5</v>
      </c>
      <c r="H91" s="80">
        <f t="shared" si="30"/>
        <v>2.5</v>
      </c>
      <c r="I91" s="81">
        <f t="shared" si="31"/>
        <v>0</v>
      </c>
      <c r="J91" s="82"/>
      <c r="K91" s="83"/>
      <c r="L91" s="84">
        <f t="shared" si="32"/>
        <v>50</v>
      </c>
      <c r="M91" s="65"/>
      <c r="N91" s="65"/>
      <c r="O91" s="65"/>
      <c r="P91" s="65"/>
      <c r="Q91" s="65"/>
      <c r="R91" s="65"/>
      <c r="S91" s="65"/>
      <c r="T91" s="65"/>
      <c r="U91" s="65"/>
      <c r="V91" s="65"/>
      <c r="W91" s="65"/>
      <c r="X91" s="65"/>
      <c r="Y91" s="65"/>
      <c r="Z91" s="66"/>
      <c r="AA91" s="66"/>
      <c r="AB91" s="66"/>
    </row>
    <row r="92" hidden="1" outlineLevel="1">
      <c r="A92" s="71">
        <v>46466.0</v>
      </c>
      <c r="B92" s="74">
        <v>0.1</v>
      </c>
      <c r="C92" s="75">
        <v>0.1</v>
      </c>
      <c r="D92" s="76">
        <v>0.05</v>
      </c>
      <c r="E92" s="77">
        <v>3.0</v>
      </c>
      <c r="F92" s="78">
        <v>1000.0</v>
      </c>
      <c r="G92" s="79">
        <f t="shared" si="29"/>
        <v>5</v>
      </c>
      <c r="H92" s="80">
        <f t="shared" si="30"/>
        <v>2.5</v>
      </c>
      <c r="I92" s="81">
        <f t="shared" si="31"/>
        <v>0</v>
      </c>
      <c r="J92" s="82"/>
      <c r="K92" s="83"/>
      <c r="L92" s="84">
        <f t="shared" si="32"/>
        <v>50</v>
      </c>
      <c r="M92" s="65"/>
      <c r="N92" s="65"/>
      <c r="O92" s="65"/>
      <c r="P92" s="65"/>
      <c r="Q92" s="65"/>
      <c r="R92" s="65"/>
      <c r="S92" s="65"/>
      <c r="T92" s="65"/>
      <c r="U92" s="65"/>
      <c r="V92" s="65"/>
      <c r="W92" s="65"/>
      <c r="X92" s="65"/>
      <c r="Y92" s="65"/>
      <c r="Z92" s="66"/>
      <c r="AA92" s="66"/>
      <c r="AB92" s="66"/>
    </row>
    <row r="93" hidden="1" outlineLevel="1">
      <c r="A93" s="71">
        <v>46467.0</v>
      </c>
      <c r="B93" s="74">
        <v>0.1</v>
      </c>
      <c r="C93" s="75">
        <v>0.1</v>
      </c>
      <c r="D93" s="76">
        <v>0.05</v>
      </c>
      <c r="E93" s="77">
        <v>3.0</v>
      </c>
      <c r="F93" s="78">
        <v>1000.0</v>
      </c>
      <c r="G93" s="79">
        <f t="shared" si="29"/>
        <v>5</v>
      </c>
      <c r="H93" s="80">
        <f t="shared" si="30"/>
        <v>2.5</v>
      </c>
      <c r="I93" s="81">
        <f t="shared" si="31"/>
        <v>0</v>
      </c>
      <c r="J93" s="82"/>
      <c r="K93" s="83"/>
      <c r="L93" s="84">
        <f t="shared" si="32"/>
        <v>50</v>
      </c>
      <c r="M93" s="65"/>
      <c r="N93" s="65"/>
      <c r="O93" s="65"/>
      <c r="P93" s="65"/>
      <c r="Q93" s="65"/>
      <c r="R93" s="65"/>
      <c r="S93" s="65"/>
      <c r="T93" s="65"/>
      <c r="U93" s="65"/>
      <c r="V93" s="65"/>
      <c r="W93" s="65"/>
      <c r="X93" s="65"/>
      <c r="Y93" s="65"/>
      <c r="Z93" s="66"/>
      <c r="AA93" s="66"/>
      <c r="AB93" s="66"/>
    </row>
    <row r="94" hidden="1" outlineLevel="1">
      <c r="A94" s="71">
        <v>46468.0</v>
      </c>
      <c r="B94" s="74">
        <v>0.1</v>
      </c>
      <c r="C94" s="75">
        <v>0.1</v>
      </c>
      <c r="D94" s="76">
        <v>0.05</v>
      </c>
      <c r="E94" s="77">
        <v>3.0</v>
      </c>
      <c r="F94" s="78">
        <v>1000.0</v>
      </c>
      <c r="G94" s="79">
        <f t="shared" si="29"/>
        <v>5</v>
      </c>
      <c r="H94" s="80">
        <f t="shared" si="30"/>
        <v>2.5</v>
      </c>
      <c r="I94" s="81">
        <f t="shared" si="31"/>
        <v>0</v>
      </c>
      <c r="J94" s="82"/>
      <c r="K94" s="83"/>
      <c r="L94" s="84">
        <f t="shared" si="32"/>
        <v>50</v>
      </c>
      <c r="M94" s="65"/>
      <c r="N94" s="65"/>
      <c r="O94" s="65"/>
      <c r="P94" s="65"/>
      <c r="Q94" s="65"/>
      <c r="R94" s="65"/>
      <c r="S94" s="65"/>
      <c r="T94" s="65"/>
      <c r="U94" s="65"/>
      <c r="V94" s="65"/>
      <c r="W94" s="65"/>
      <c r="X94" s="65"/>
      <c r="Y94" s="65"/>
      <c r="Z94" s="66"/>
      <c r="AA94" s="66"/>
      <c r="AB94" s="66"/>
    </row>
    <row r="95" hidden="1" outlineLevel="1">
      <c r="A95" s="71">
        <v>46469.0</v>
      </c>
      <c r="B95" s="74">
        <v>0.1</v>
      </c>
      <c r="C95" s="75">
        <v>0.1</v>
      </c>
      <c r="D95" s="76">
        <v>0.05</v>
      </c>
      <c r="E95" s="77">
        <v>3.0</v>
      </c>
      <c r="F95" s="78">
        <v>1000.0</v>
      </c>
      <c r="G95" s="79">
        <f t="shared" si="29"/>
        <v>5</v>
      </c>
      <c r="H95" s="80">
        <f t="shared" si="30"/>
        <v>2.5</v>
      </c>
      <c r="I95" s="81">
        <f t="shared" si="31"/>
        <v>0</v>
      </c>
      <c r="J95" s="82"/>
      <c r="K95" s="83"/>
      <c r="L95" s="84">
        <f t="shared" si="32"/>
        <v>50</v>
      </c>
      <c r="M95" s="65"/>
      <c r="N95" s="65"/>
      <c r="O95" s="65"/>
      <c r="P95" s="65"/>
      <c r="Q95" s="65"/>
      <c r="R95" s="65"/>
      <c r="S95" s="65"/>
      <c r="T95" s="65"/>
      <c r="U95" s="65"/>
      <c r="V95" s="65"/>
      <c r="W95" s="65"/>
      <c r="X95" s="65"/>
      <c r="Y95" s="65"/>
      <c r="Z95" s="66"/>
      <c r="AA95" s="66"/>
      <c r="AB95" s="66"/>
    </row>
    <row r="96" hidden="1" outlineLevel="1">
      <c r="A96" s="71">
        <v>46470.0</v>
      </c>
      <c r="B96" s="74">
        <v>0.1</v>
      </c>
      <c r="C96" s="75">
        <v>0.1</v>
      </c>
      <c r="D96" s="76">
        <v>0.05</v>
      </c>
      <c r="E96" s="77">
        <v>3.0</v>
      </c>
      <c r="F96" s="78">
        <v>1000.0</v>
      </c>
      <c r="G96" s="79">
        <f t="shared" si="29"/>
        <v>5</v>
      </c>
      <c r="H96" s="80">
        <f t="shared" si="30"/>
        <v>2.5</v>
      </c>
      <c r="I96" s="81">
        <f t="shared" si="31"/>
        <v>0</v>
      </c>
      <c r="J96" s="82"/>
      <c r="K96" s="83"/>
      <c r="L96" s="84">
        <f t="shared" si="32"/>
        <v>50</v>
      </c>
      <c r="M96" s="65"/>
      <c r="N96" s="65"/>
      <c r="O96" s="65"/>
      <c r="P96" s="65"/>
      <c r="Q96" s="65"/>
      <c r="R96" s="65"/>
      <c r="S96" s="65"/>
      <c r="T96" s="65"/>
      <c r="U96" s="65"/>
      <c r="V96" s="65"/>
      <c r="W96" s="65"/>
      <c r="X96" s="65"/>
      <c r="Y96" s="65"/>
      <c r="Z96" s="66"/>
      <c r="AA96" s="66"/>
      <c r="AB96" s="66"/>
    </row>
    <row r="97" hidden="1" outlineLevel="1">
      <c r="A97" s="71">
        <v>46471.0</v>
      </c>
      <c r="B97" s="74">
        <v>0.1</v>
      </c>
      <c r="C97" s="75">
        <v>0.1</v>
      </c>
      <c r="D97" s="76">
        <v>0.05</v>
      </c>
      <c r="E97" s="77">
        <v>3.0</v>
      </c>
      <c r="F97" s="78">
        <v>1000.0</v>
      </c>
      <c r="G97" s="79">
        <f t="shared" si="29"/>
        <v>5</v>
      </c>
      <c r="H97" s="80">
        <f t="shared" si="30"/>
        <v>2.5</v>
      </c>
      <c r="I97" s="81">
        <f t="shared" si="31"/>
        <v>0</v>
      </c>
      <c r="J97" s="82"/>
      <c r="K97" s="83"/>
      <c r="L97" s="84">
        <f t="shared" si="32"/>
        <v>50</v>
      </c>
      <c r="M97" s="65"/>
      <c r="N97" s="65"/>
      <c r="O97" s="65"/>
      <c r="P97" s="65"/>
      <c r="Q97" s="65"/>
      <c r="R97" s="65"/>
      <c r="S97" s="65"/>
      <c r="T97" s="65"/>
      <c r="U97" s="65"/>
      <c r="V97" s="65"/>
      <c r="W97" s="65"/>
      <c r="X97" s="65"/>
      <c r="Y97" s="65"/>
      <c r="Z97" s="66"/>
      <c r="AA97" s="66"/>
      <c r="AB97" s="66"/>
    </row>
    <row r="98" hidden="1" outlineLevel="1">
      <c r="A98" s="71">
        <v>46472.0</v>
      </c>
      <c r="B98" s="74">
        <v>0.1</v>
      </c>
      <c r="C98" s="75">
        <v>0.1</v>
      </c>
      <c r="D98" s="76">
        <v>0.05</v>
      </c>
      <c r="E98" s="77">
        <v>3.0</v>
      </c>
      <c r="F98" s="78">
        <v>1000.0</v>
      </c>
      <c r="G98" s="79">
        <f t="shared" si="29"/>
        <v>5</v>
      </c>
      <c r="H98" s="80">
        <f t="shared" si="30"/>
        <v>2.5</v>
      </c>
      <c r="I98" s="81">
        <f t="shared" si="31"/>
        <v>0</v>
      </c>
      <c r="J98" s="82"/>
      <c r="K98" s="83"/>
      <c r="L98" s="84">
        <f t="shared" si="32"/>
        <v>50</v>
      </c>
      <c r="M98" s="65"/>
      <c r="N98" s="65"/>
      <c r="O98" s="65"/>
      <c r="P98" s="65"/>
      <c r="Q98" s="65"/>
      <c r="R98" s="65"/>
      <c r="S98" s="65"/>
      <c r="T98" s="65"/>
      <c r="U98" s="65"/>
      <c r="V98" s="65"/>
      <c r="W98" s="65"/>
      <c r="X98" s="65"/>
      <c r="Y98" s="65"/>
      <c r="Z98" s="66"/>
      <c r="AA98" s="66"/>
      <c r="AB98" s="66"/>
    </row>
    <row r="99" hidden="1" outlineLevel="1">
      <c r="A99" s="71">
        <v>46473.0</v>
      </c>
      <c r="B99" s="74">
        <v>0.1</v>
      </c>
      <c r="C99" s="75">
        <v>0.1</v>
      </c>
      <c r="D99" s="76">
        <v>0.05</v>
      </c>
      <c r="E99" s="77">
        <v>3.0</v>
      </c>
      <c r="F99" s="78">
        <v>1000.0</v>
      </c>
      <c r="G99" s="79">
        <f t="shared" si="29"/>
        <v>5</v>
      </c>
      <c r="H99" s="80">
        <f t="shared" si="30"/>
        <v>2.5</v>
      </c>
      <c r="I99" s="81">
        <f t="shared" si="31"/>
        <v>0</v>
      </c>
      <c r="J99" s="82"/>
      <c r="K99" s="83"/>
      <c r="L99" s="84">
        <f t="shared" si="32"/>
        <v>50</v>
      </c>
      <c r="M99" s="65"/>
      <c r="N99" s="65"/>
      <c r="O99" s="65"/>
      <c r="P99" s="65"/>
      <c r="Q99" s="65"/>
      <c r="R99" s="65"/>
      <c r="S99" s="65"/>
      <c r="T99" s="65"/>
      <c r="U99" s="65"/>
      <c r="V99" s="65"/>
      <c r="W99" s="65"/>
      <c r="X99" s="65"/>
      <c r="Y99" s="65"/>
      <c r="Z99" s="66"/>
      <c r="AA99" s="66"/>
      <c r="AB99" s="66"/>
    </row>
    <row r="100" hidden="1" outlineLevel="1">
      <c r="A100" s="71">
        <v>46474.0</v>
      </c>
      <c r="B100" s="74">
        <v>0.1</v>
      </c>
      <c r="C100" s="75">
        <v>0.1</v>
      </c>
      <c r="D100" s="76">
        <v>0.05</v>
      </c>
      <c r="E100" s="77">
        <v>3.0</v>
      </c>
      <c r="F100" s="78">
        <v>1000.0</v>
      </c>
      <c r="G100" s="79">
        <f t="shared" si="29"/>
        <v>5</v>
      </c>
      <c r="H100" s="80">
        <f t="shared" si="30"/>
        <v>2.5</v>
      </c>
      <c r="I100" s="81">
        <f t="shared" si="31"/>
        <v>0</v>
      </c>
      <c r="J100" s="82"/>
      <c r="K100" s="83"/>
      <c r="L100" s="84">
        <f t="shared" si="32"/>
        <v>50</v>
      </c>
      <c r="M100" s="65"/>
      <c r="N100" s="65"/>
      <c r="O100" s="65"/>
      <c r="P100" s="65"/>
      <c r="Q100" s="65"/>
      <c r="R100" s="65"/>
      <c r="S100" s="65"/>
      <c r="T100" s="65"/>
      <c r="U100" s="65"/>
      <c r="V100" s="65"/>
      <c r="W100" s="65"/>
      <c r="X100" s="65"/>
      <c r="Y100" s="65"/>
      <c r="Z100" s="66"/>
      <c r="AA100" s="66"/>
      <c r="AB100" s="66"/>
    </row>
    <row r="101" hidden="1" outlineLevel="1">
      <c r="A101" s="71">
        <v>46475.0</v>
      </c>
      <c r="B101" s="74">
        <v>0.1</v>
      </c>
      <c r="C101" s="75">
        <v>0.1</v>
      </c>
      <c r="D101" s="76">
        <v>0.05</v>
      </c>
      <c r="E101" s="77">
        <v>3.0</v>
      </c>
      <c r="F101" s="78">
        <v>1000.0</v>
      </c>
      <c r="G101" s="79">
        <f t="shared" si="29"/>
        <v>5</v>
      </c>
      <c r="H101" s="80">
        <f t="shared" si="30"/>
        <v>2.5</v>
      </c>
      <c r="I101" s="81">
        <f t="shared" si="31"/>
        <v>0</v>
      </c>
      <c r="J101" s="82"/>
      <c r="K101" s="83"/>
      <c r="L101" s="84">
        <f t="shared" si="32"/>
        <v>50</v>
      </c>
      <c r="M101" s="65"/>
      <c r="N101" s="65"/>
      <c r="O101" s="65"/>
      <c r="P101" s="65"/>
      <c r="Q101" s="65"/>
      <c r="R101" s="65"/>
      <c r="S101" s="65"/>
      <c r="T101" s="65"/>
      <c r="U101" s="65"/>
      <c r="V101" s="65"/>
      <c r="W101" s="65"/>
      <c r="X101" s="65"/>
      <c r="Y101" s="65"/>
      <c r="Z101" s="66"/>
      <c r="AA101" s="66"/>
      <c r="AB101" s="66"/>
    </row>
    <row r="102" hidden="1" outlineLevel="1">
      <c r="A102" s="71">
        <v>46476.0</v>
      </c>
      <c r="B102" s="74">
        <v>0.1</v>
      </c>
      <c r="C102" s="75">
        <v>0.1</v>
      </c>
      <c r="D102" s="76">
        <v>0.05</v>
      </c>
      <c r="E102" s="77">
        <v>3.0</v>
      </c>
      <c r="F102" s="78">
        <v>1000.0</v>
      </c>
      <c r="G102" s="79">
        <f t="shared" si="29"/>
        <v>5</v>
      </c>
      <c r="H102" s="80">
        <f t="shared" si="30"/>
        <v>2.5</v>
      </c>
      <c r="I102" s="81">
        <f t="shared" si="31"/>
        <v>0</v>
      </c>
      <c r="J102" s="82"/>
      <c r="K102" s="83"/>
      <c r="L102" s="84">
        <f t="shared" si="32"/>
        <v>50</v>
      </c>
      <c r="M102" s="65"/>
      <c r="N102" s="65"/>
      <c r="O102" s="65"/>
      <c r="P102" s="65"/>
      <c r="Q102" s="65"/>
      <c r="R102" s="65"/>
      <c r="S102" s="65"/>
      <c r="T102" s="65"/>
      <c r="U102" s="65"/>
      <c r="V102" s="65"/>
      <c r="W102" s="65"/>
      <c r="X102" s="65"/>
      <c r="Y102" s="65"/>
      <c r="Z102" s="66"/>
      <c r="AA102" s="66"/>
      <c r="AB102" s="66"/>
    </row>
    <row r="103" hidden="1" outlineLevel="1">
      <c r="A103" s="71">
        <v>46477.0</v>
      </c>
      <c r="B103" s="74">
        <v>0.1</v>
      </c>
      <c r="C103" s="75">
        <v>0.1</v>
      </c>
      <c r="D103" s="76">
        <v>0.05</v>
      </c>
      <c r="E103" s="77">
        <v>3.0</v>
      </c>
      <c r="F103" s="78">
        <v>1000.0</v>
      </c>
      <c r="G103" s="79">
        <f t="shared" si="29"/>
        <v>5</v>
      </c>
      <c r="H103" s="80">
        <f t="shared" si="30"/>
        <v>2.5</v>
      </c>
      <c r="I103" s="81">
        <f t="shared" si="31"/>
        <v>0</v>
      </c>
      <c r="J103" s="82"/>
      <c r="K103" s="83"/>
      <c r="L103" s="84">
        <f t="shared" si="32"/>
        <v>50</v>
      </c>
      <c r="M103" s="65"/>
      <c r="N103" s="65"/>
      <c r="O103" s="65"/>
      <c r="P103" s="65"/>
      <c r="Q103" s="65"/>
      <c r="R103" s="65"/>
      <c r="S103" s="65"/>
      <c r="T103" s="65"/>
      <c r="U103" s="65"/>
      <c r="V103" s="65"/>
      <c r="W103" s="65"/>
      <c r="X103" s="65"/>
      <c r="Y103" s="65"/>
      <c r="Z103" s="66"/>
      <c r="AA103" s="66"/>
      <c r="AB103" s="66"/>
    </row>
    <row r="104" hidden="1" outlineLevel="1">
      <c r="A104" s="85" t="s">
        <v>41</v>
      </c>
      <c r="C104" s="86">
        <f>SUM(C73:C103)</f>
        <v>3.1</v>
      </c>
      <c r="D104" s="87"/>
      <c r="E104" s="87"/>
      <c r="F104" s="87"/>
      <c r="G104" s="87"/>
      <c r="H104" s="87"/>
      <c r="I104" s="88">
        <f t="shared" ref="I104:K104" si="33">SUM(I73:I103)</f>
        <v>0</v>
      </c>
      <c r="J104" s="89">
        <f t="shared" si="33"/>
        <v>0</v>
      </c>
      <c r="K104" s="87">
        <f t="shared" si="33"/>
        <v>0</v>
      </c>
      <c r="L104" s="89">
        <f>L103</f>
        <v>50</v>
      </c>
      <c r="M104" s="65"/>
      <c r="N104" s="65"/>
      <c r="O104" s="65"/>
      <c r="P104" s="65"/>
      <c r="Q104" s="65"/>
      <c r="R104" s="65"/>
      <c r="S104" s="65"/>
      <c r="T104" s="65"/>
      <c r="U104" s="65"/>
      <c r="V104" s="65"/>
      <c r="W104" s="65"/>
      <c r="X104" s="65"/>
      <c r="Y104" s="65"/>
      <c r="Z104" s="66"/>
      <c r="AA104" s="66"/>
      <c r="AB104" s="66"/>
    </row>
    <row r="105">
      <c r="A105" s="95"/>
      <c r="B105" s="92"/>
      <c r="C105" s="92"/>
      <c r="D105" s="92"/>
      <c r="E105" s="92"/>
      <c r="F105" s="92"/>
      <c r="G105" s="92"/>
      <c r="H105" s="92"/>
      <c r="I105" s="92"/>
      <c r="J105" s="92"/>
      <c r="K105" s="94">
        <f>SUM(K73:K103)</f>
        <v>0</v>
      </c>
      <c r="L105" s="92"/>
      <c r="M105" s="65"/>
      <c r="N105" s="65"/>
      <c r="O105" s="65"/>
      <c r="P105" s="65"/>
      <c r="Q105" s="65"/>
      <c r="R105" s="65"/>
      <c r="S105" s="65"/>
      <c r="T105" s="65"/>
      <c r="U105" s="65"/>
      <c r="V105" s="65"/>
      <c r="W105" s="65"/>
      <c r="X105" s="65"/>
      <c r="Y105" s="65"/>
      <c r="Z105" s="66"/>
      <c r="AA105" s="66"/>
      <c r="AB105" s="66"/>
    </row>
    <row r="106" collapsed="1">
      <c r="A106" s="57" t="s">
        <v>45</v>
      </c>
      <c r="M106" s="65"/>
      <c r="N106" s="65"/>
      <c r="O106" s="65"/>
      <c r="P106" s="65"/>
      <c r="Q106" s="65"/>
      <c r="R106" s="65"/>
      <c r="S106" s="65"/>
      <c r="T106" s="65"/>
      <c r="U106" s="65"/>
      <c r="V106" s="65"/>
      <c r="W106" s="65"/>
      <c r="X106" s="65"/>
      <c r="Y106" s="65"/>
      <c r="Z106" s="66"/>
      <c r="AA106" s="66"/>
      <c r="AB106" s="66"/>
    </row>
    <row r="107" hidden="1" outlineLevel="1">
      <c r="A107" s="71" t="s">
        <v>29</v>
      </c>
      <c r="B107" s="57" t="s">
        <v>30</v>
      </c>
      <c r="C107" s="57" t="s">
        <v>31</v>
      </c>
      <c r="D107" s="72" t="s">
        <v>32</v>
      </c>
      <c r="E107" s="72" t="s">
        <v>33</v>
      </c>
      <c r="F107" s="72" t="s">
        <v>34</v>
      </c>
      <c r="G107" s="73" t="s">
        <v>35</v>
      </c>
      <c r="H107" s="72" t="s">
        <v>36</v>
      </c>
      <c r="I107" s="57" t="s">
        <v>37</v>
      </c>
      <c r="J107" s="74" t="s">
        <v>38</v>
      </c>
      <c r="K107" s="57" t="s">
        <v>39</v>
      </c>
      <c r="L107" s="57" t="s">
        <v>40</v>
      </c>
      <c r="M107" s="65"/>
      <c r="N107" s="65"/>
      <c r="O107" s="65"/>
      <c r="P107" s="65"/>
      <c r="Q107" s="65"/>
      <c r="R107" s="65"/>
      <c r="S107" s="65"/>
      <c r="T107" s="65"/>
      <c r="U107" s="65"/>
      <c r="V107" s="65"/>
      <c r="W107" s="65"/>
      <c r="X107" s="65"/>
      <c r="Y107" s="65"/>
      <c r="Z107" s="66"/>
      <c r="AA107" s="66"/>
      <c r="AB107" s="66"/>
    </row>
    <row r="108" hidden="1" outlineLevel="1">
      <c r="A108" s="71">
        <v>46478.0</v>
      </c>
      <c r="B108" s="100">
        <f t="shared" ref="B108:B137" si="34">ROUND(AVERAGE((H108/1000)/E108), 2)</f>
        <v>0</v>
      </c>
      <c r="C108" s="75">
        <v>0.1</v>
      </c>
      <c r="D108" s="76">
        <v>0.05</v>
      </c>
      <c r="E108" s="77">
        <v>3.0</v>
      </c>
      <c r="F108" s="78" t="str">
        <f t="shared" ref="F108:F137" si="35">H108/B108</f>
        <v>#DIV/0!</v>
      </c>
      <c r="G108" s="79">
        <f>L104*C108</f>
        <v>5</v>
      </c>
      <c r="H108" s="80">
        <f>L104*D108</f>
        <v>2.5</v>
      </c>
      <c r="I108" s="81">
        <f>(J108/B103)*100</f>
        <v>0</v>
      </c>
      <c r="J108" s="82"/>
      <c r="K108" s="83"/>
      <c r="L108" s="84">
        <f>(L104+J108)-K108</f>
        <v>50</v>
      </c>
      <c r="M108" s="65"/>
      <c r="N108" s="65"/>
      <c r="O108" s="65"/>
      <c r="P108" s="65"/>
      <c r="Q108" s="65"/>
      <c r="R108" s="65"/>
      <c r="S108" s="65"/>
      <c r="T108" s="65"/>
      <c r="U108" s="65"/>
      <c r="V108" s="65"/>
      <c r="W108" s="65"/>
      <c r="X108" s="65"/>
      <c r="Y108" s="65"/>
      <c r="Z108" s="66"/>
      <c r="AA108" s="66"/>
      <c r="AB108" s="66"/>
    </row>
    <row r="109" hidden="1" outlineLevel="1">
      <c r="A109" s="71">
        <v>46479.0</v>
      </c>
      <c r="B109" s="100">
        <f t="shared" si="34"/>
        <v>0</v>
      </c>
      <c r="C109" s="75">
        <v>0.1</v>
      </c>
      <c r="D109" s="76">
        <v>0.05</v>
      </c>
      <c r="E109" s="77">
        <v>3.0</v>
      </c>
      <c r="F109" s="78" t="str">
        <f t="shared" si="35"/>
        <v>#DIV/0!</v>
      </c>
      <c r="G109" s="79">
        <f t="shared" ref="G109:G137" si="36">L108*C109</f>
        <v>5</v>
      </c>
      <c r="H109" s="80">
        <f t="shared" ref="H109:H137" si="37">L108*D109</f>
        <v>2.5</v>
      </c>
      <c r="I109" s="81">
        <f t="shared" ref="I109:I137" si="38">(J109/L108)*100</f>
        <v>0</v>
      </c>
      <c r="J109" s="82"/>
      <c r="K109" s="83"/>
      <c r="L109" s="84">
        <f t="shared" ref="L109:L137" si="39">(L108+J109)-K109</f>
        <v>50</v>
      </c>
      <c r="M109" s="65"/>
      <c r="N109" s="65"/>
      <c r="O109" s="65"/>
      <c r="P109" s="65"/>
      <c r="Q109" s="65"/>
      <c r="R109" s="65"/>
      <c r="S109" s="65"/>
      <c r="T109" s="65"/>
      <c r="U109" s="65"/>
      <c r="V109" s="65"/>
      <c r="W109" s="65"/>
      <c r="X109" s="65"/>
      <c r="Y109" s="65"/>
      <c r="Z109" s="66"/>
      <c r="AA109" s="66"/>
      <c r="AB109" s="66"/>
    </row>
    <row r="110" hidden="1" outlineLevel="1">
      <c r="A110" s="71">
        <v>46480.0</v>
      </c>
      <c r="B110" s="100">
        <f t="shared" si="34"/>
        <v>0</v>
      </c>
      <c r="C110" s="75">
        <v>0.1</v>
      </c>
      <c r="D110" s="76">
        <v>0.05</v>
      </c>
      <c r="E110" s="77">
        <v>3.0</v>
      </c>
      <c r="F110" s="78" t="str">
        <f t="shared" si="35"/>
        <v>#DIV/0!</v>
      </c>
      <c r="G110" s="79">
        <f t="shared" si="36"/>
        <v>5</v>
      </c>
      <c r="H110" s="80">
        <f t="shared" si="37"/>
        <v>2.5</v>
      </c>
      <c r="I110" s="81">
        <f t="shared" si="38"/>
        <v>0</v>
      </c>
      <c r="J110" s="82"/>
      <c r="K110" s="83"/>
      <c r="L110" s="84">
        <f t="shared" si="39"/>
        <v>50</v>
      </c>
      <c r="M110" s="65"/>
      <c r="N110" s="65"/>
      <c r="O110" s="65"/>
      <c r="P110" s="65"/>
      <c r="Q110" s="65"/>
      <c r="R110" s="65"/>
      <c r="S110" s="65"/>
      <c r="T110" s="65"/>
      <c r="U110" s="65"/>
      <c r="V110" s="65"/>
      <c r="W110" s="65"/>
      <c r="X110" s="65"/>
      <c r="Y110" s="65"/>
      <c r="Z110" s="66"/>
      <c r="AA110" s="66"/>
      <c r="AB110" s="66"/>
    </row>
    <row r="111" hidden="1" outlineLevel="1">
      <c r="A111" s="71">
        <v>46481.0</v>
      </c>
      <c r="B111" s="100">
        <f t="shared" si="34"/>
        <v>0</v>
      </c>
      <c r="C111" s="75">
        <v>0.1</v>
      </c>
      <c r="D111" s="76">
        <v>0.05</v>
      </c>
      <c r="E111" s="77">
        <v>3.0</v>
      </c>
      <c r="F111" s="78" t="str">
        <f t="shared" si="35"/>
        <v>#DIV/0!</v>
      </c>
      <c r="G111" s="79">
        <f t="shared" si="36"/>
        <v>5</v>
      </c>
      <c r="H111" s="80">
        <f t="shared" si="37"/>
        <v>2.5</v>
      </c>
      <c r="I111" s="81">
        <f t="shared" si="38"/>
        <v>0</v>
      </c>
      <c r="J111" s="82"/>
      <c r="K111" s="83"/>
      <c r="L111" s="84">
        <f t="shared" si="39"/>
        <v>50</v>
      </c>
      <c r="M111" s="65"/>
      <c r="N111" s="65"/>
      <c r="O111" s="65"/>
      <c r="P111" s="65"/>
      <c r="Q111" s="65"/>
      <c r="R111" s="65"/>
      <c r="S111" s="65"/>
      <c r="T111" s="65"/>
      <c r="U111" s="65"/>
      <c r="V111" s="65"/>
      <c r="W111" s="65"/>
      <c r="X111" s="65"/>
      <c r="Y111" s="65"/>
      <c r="Z111" s="66"/>
      <c r="AA111" s="66"/>
      <c r="AB111" s="66"/>
    </row>
    <row r="112" hidden="1" outlineLevel="1">
      <c r="A112" s="71">
        <v>46482.0</v>
      </c>
      <c r="B112" s="100">
        <f t="shared" si="34"/>
        <v>0</v>
      </c>
      <c r="C112" s="75">
        <v>0.1</v>
      </c>
      <c r="D112" s="76">
        <v>0.05</v>
      </c>
      <c r="E112" s="77">
        <v>3.0</v>
      </c>
      <c r="F112" s="78" t="str">
        <f t="shared" si="35"/>
        <v>#DIV/0!</v>
      </c>
      <c r="G112" s="79">
        <f t="shared" si="36"/>
        <v>5</v>
      </c>
      <c r="H112" s="80">
        <f t="shared" si="37"/>
        <v>2.5</v>
      </c>
      <c r="I112" s="81">
        <f t="shared" si="38"/>
        <v>0</v>
      </c>
      <c r="J112" s="82"/>
      <c r="K112" s="83"/>
      <c r="L112" s="84">
        <f t="shared" si="39"/>
        <v>50</v>
      </c>
      <c r="M112" s="65"/>
      <c r="N112" s="65"/>
      <c r="O112" s="65"/>
      <c r="P112" s="65"/>
      <c r="Q112" s="65"/>
      <c r="R112" s="65"/>
      <c r="S112" s="65"/>
      <c r="T112" s="65"/>
      <c r="U112" s="65"/>
      <c r="V112" s="65"/>
      <c r="W112" s="65"/>
      <c r="X112" s="65"/>
      <c r="Y112" s="65"/>
      <c r="Z112" s="66"/>
      <c r="AA112" s="66"/>
      <c r="AB112" s="66"/>
    </row>
    <row r="113" hidden="1" outlineLevel="1">
      <c r="A113" s="71">
        <v>46483.0</v>
      </c>
      <c r="B113" s="100">
        <f t="shared" si="34"/>
        <v>0</v>
      </c>
      <c r="C113" s="75">
        <v>0.1</v>
      </c>
      <c r="D113" s="76">
        <v>0.05</v>
      </c>
      <c r="E113" s="77">
        <v>3.0</v>
      </c>
      <c r="F113" s="78" t="str">
        <f t="shared" si="35"/>
        <v>#DIV/0!</v>
      </c>
      <c r="G113" s="79">
        <f t="shared" si="36"/>
        <v>5</v>
      </c>
      <c r="H113" s="80">
        <f t="shared" si="37"/>
        <v>2.5</v>
      </c>
      <c r="I113" s="81">
        <f t="shared" si="38"/>
        <v>0</v>
      </c>
      <c r="J113" s="82"/>
      <c r="K113" s="83"/>
      <c r="L113" s="84">
        <f t="shared" si="39"/>
        <v>50</v>
      </c>
      <c r="M113" s="65"/>
      <c r="N113" s="65"/>
      <c r="O113" s="65"/>
      <c r="P113" s="65"/>
      <c r="Q113" s="65"/>
      <c r="R113" s="65"/>
      <c r="S113" s="65"/>
      <c r="T113" s="65"/>
      <c r="U113" s="65"/>
      <c r="V113" s="65"/>
      <c r="W113" s="65"/>
      <c r="X113" s="65"/>
      <c r="Y113" s="65"/>
      <c r="Z113" s="66"/>
      <c r="AA113" s="66"/>
      <c r="AB113" s="66"/>
    </row>
    <row r="114" hidden="1" outlineLevel="1">
      <c r="A114" s="71">
        <v>46484.0</v>
      </c>
      <c r="B114" s="100">
        <f t="shared" si="34"/>
        <v>0</v>
      </c>
      <c r="C114" s="75">
        <v>0.1</v>
      </c>
      <c r="D114" s="76">
        <v>0.05</v>
      </c>
      <c r="E114" s="77">
        <v>3.0</v>
      </c>
      <c r="F114" s="78" t="str">
        <f t="shared" si="35"/>
        <v>#DIV/0!</v>
      </c>
      <c r="G114" s="79">
        <f t="shared" si="36"/>
        <v>5</v>
      </c>
      <c r="H114" s="80">
        <f t="shared" si="37"/>
        <v>2.5</v>
      </c>
      <c r="I114" s="81">
        <f t="shared" si="38"/>
        <v>0</v>
      </c>
      <c r="J114" s="82"/>
      <c r="K114" s="83"/>
      <c r="L114" s="84">
        <f t="shared" si="39"/>
        <v>50</v>
      </c>
      <c r="M114" s="65"/>
      <c r="N114" s="65"/>
      <c r="O114" s="65"/>
      <c r="P114" s="65"/>
      <c r="Q114" s="65"/>
      <c r="R114" s="65"/>
      <c r="S114" s="65"/>
      <c r="T114" s="65"/>
      <c r="U114" s="65"/>
      <c r="V114" s="65"/>
      <c r="W114" s="65"/>
      <c r="X114" s="65"/>
      <c r="Y114" s="65"/>
      <c r="Z114" s="66"/>
      <c r="AA114" s="66"/>
      <c r="AB114" s="66"/>
    </row>
    <row r="115" hidden="1" outlineLevel="1">
      <c r="A115" s="71">
        <v>46485.0</v>
      </c>
      <c r="B115" s="100">
        <f t="shared" si="34"/>
        <v>0</v>
      </c>
      <c r="C115" s="75">
        <v>0.1</v>
      </c>
      <c r="D115" s="76">
        <v>0.05</v>
      </c>
      <c r="E115" s="77">
        <v>3.0</v>
      </c>
      <c r="F115" s="78" t="str">
        <f t="shared" si="35"/>
        <v>#DIV/0!</v>
      </c>
      <c r="G115" s="79">
        <f t="shared" si="36"/>
        <v>5</v>
      </c>
      <c r="H115" s="80">
        <f t="shared" si="37"/>
        <v>2.5</v>
      </c>
      <c r="I115" s="81">
        <f t="shared" si="38"/>
        <v>0</v>
      </c>
      <c r="J115" s="82"/>
      <c r="K115" s="83"/>
      <c r="L115" s="84">
        <f t="shared" si="39"/>
        <v>50</v>
      </c>
      <c r="M115" s="65"/>
      <c r="N115" s="65"/>
      <c r="O115" s="65"/>
      <c r="P115" s="65"/>
      <c r="Q115" s="65"/>
      <c r="R115" s="65"/>
      <c r="S115" s="65"/>
      <c r="T115" s="65"/>
      <c r="U115" s="65"/>
      <c r="V115" s="65"/>
      <c r="W115" s="65"/>
      <c r="X115" s="65"/>
      <c r="Y115" s="65"/>
      <c r="Z115" s="66"/>
      <c r="AA115" s="66"/>
      <c r="AB115" s="66"/>
    </row>
    <row r="116" hidden="1" outlineLevel="1">
      <c r="A116" s="71">
        <v>46486.0</v>
      </c>
      <c r="B116" s="100">
        <f t="shared" si="34"/>
        <v>0</v>
      </c>
      <c r="C116" s="75">
        <v>0.1</v>
      </c>
      <c r="D116" s="76">
        <v>0.05</v>
      </c>
      <c r="E116" s="77">
        <v>3.0</v>
      </c>
      <c r="F116" s="78" t="str">
        <f t="shared" si="35"/>
        <v>#DIV/0!</v>
      </c>
      <c r="G116" s="79">
        <f t="shared" si="36"/>
        <v>5</v>
      </c>
      <c r="H116" s="80">
        <f t="shared" si="37"/>
        <v>2.5</v>
      </c>
      <c r="I116" s="81">
        <f t="shared" si="38"/>
        <v>0</v>
      </c>
      <c r="J116" s="82"/>
      <c r="K116" s="83"/>
      <c r="L116" s="84">
        <f t="shared" si="39"/>
        <v>50</v>
      </c>
      <c r="M116" s="65"/>
      <c r="N116" s="65"/>
      <c r="O116" s="65"/>
      <c r="P116" s="65"/>
      <c r="Q116" s="65"/>
      <c r="R116" s="65"/>
      <c r="S116" s="65"/>
      <c r="T116" s="65"/>
      <c r="U116" s="65"/>
      <c r="V116" s="65"/>
      <c r="W116" s="65"/>
      <c r="X116" s="65"/>
      <c r="Y116" s="65"/>
      <c r="Z116" s="66"/>
      <c r="AA116" s="66"/>
      <c r="AB116" s="66"/>
    </row>
    <row r="117" hidden="1" outlineLevel="1">
      <c r="A117" s="71">
        <v>46487.0</v>
      </c>
      <c r="B117" s="100">
        <f t="shared" si="34"/>
        <v>0</v>
      </c>
      <c r="C117" s="75">
        <v>0.1</v>
      </c>
      <c r="D117" s="76">
        <v>0.05</v>
      </c>
      <c r="E117" s="77">
        <v>3.0</v>
      </c>
      <c r="F117" s="78" t="str">
        <f t="shared" si="35"/>
        <v>#DIV/0!</v>
      </c>
      <c r="G117" s="79">
        <f t="shared" si="36"/>
        <v>5</v>
      </c>
      <c r="H117" s="80">
        <f t="shared" si="37"/>
        <v>2.5</v>
      </c>
      <c r="I117" s="81">
        <f t="shared" si="38"/>
        <v>0</v>
      </c>
      <c r="J117" s="82"/>
      <c r="K117" s="83"/>
      <c r="L117" s="84">
        <f t="shared" si="39"/>
        <v>50</v>
      </c>
      <c r="M117" s="65"/>
      <c r="N117" s="65"/>
      <c r="O117" s="65"/>
      <c r="P117" s="65"/>
      <c r="Q117" s="65"/>
      <c r="R117" s="65"/>
      <c r="S117" s="65"/>
      <c r="T117" s="65"/>
      <c r="U117" s="65"/>
      <c r="V117" s="65"/>
      <c r="W117" s="65"/>
      <c r="X117" s="65"/>
      <c r="Y117" s="65"/>
      <c r="Z117" s="66"/>
      <c r="AA117" s="66"/>
      <c r="AB117" s="66"/>
    </row>
    <row r="118" hidden="1" outlineLevel="1">
      <c r="A118" s="71">
        <v>46488.0</v>
      </c>
      <c r="B118" s="100">
        <f t="shared" si="34"/>
        <v>0</v>
      </c>
      <c r="C118" s="75">
        <v>0.1</v>
      </c>
      <c r="D118" s="76">
        <v>0.05</v>
      </c>
      <c r="E118" s="77">
        <v>3.0</v>
      </c>
      <c r="F118" s="78" t="str">
        <f t="shared" si="35"/>
        <v>#DIV/0!</v>
      </c>
      <c r="G118" s="79">
        <f t="shared" si="36"/>
        <v>5</v>
      </c>
      <c r="H118" s="80">
        <f t="shared" si="37"/>
        <v>2.5</v>
      </c>
      <c r="I118" s="81">
        <f t="shared" si="38"/>
        <v>0</v>
      </c>
      <c r="J118" s="82"/>
      <c r="K118" s="83"/>
      <c r="L118" s="84">
        <f t="shared" si="39"/>
        <v>50</v>
      </c>
      <c r="M118" s="65"/>
      <c r="N118" s="65"/>
      <c r="O118" s="65"/>
      <c r="P118" s="65"/>
      <c r="Q118" s="65"/>
      <c r="R118" s="65"/>
      <c r="S118" s="65"/>
      <c r="T118" s="65"/>
      <c r="U118" s="65"/>
      <c r="V118" s="65"/>
      <c r="W118" s="65"/>
      <c r="X118" s="65"/>
      <c r="Y118" s="65"/>
      <c r="Z118" s="66"/>
      <c r="AA118" s="66"/>
      <c r="AB118" s="66"/>
    </row>
    <row r="119" hidden="1" outlineLevel="1">
      <c r="A119" s="71">
        <v>46489.0</v>
      </c>
      <c r="B119" s="100">
        <f t="shared" si="34"/>
        <v>0</v>
      </c>
      <c r="C119" s="75">
        <v>0.1</v>
      </c>
      <c r="D119" s="76">
        <v>0.05</v>
      </c>
      <c r="E119" s="77">
        <v>3.0</v>
      </c>
      <c r="F119" s="78" t="str">
        <f t="shared" si="35"/>
        <v>#DIV/0!</v>
      </c>
      <c r="G119" s="79">
        <f t="shared" si="36"/>
        <v>5</v>
      </c>
      <c r="H119" s="80">
        <f t="shared" si="37"/>
        <v>2.5</v>
      </c>
      <c r="I119" s="81">
        <f t="shared" si="38"/>
        <v>0</v>
      </c>
      <c r="J119" s="82"/>
      <c r="K119" s="83"/>
      <c r="L119" s="84">
        <f t="shared" si="39"/>
        <v>50</v>
      </c>
      <c r="M119" s="65"/>
      <c r="N119" s="65"/>
      <c r="O119" s="65"/>
      <c r="P119" s="65"/>
      <c r="Q119" s="65"/>
      <c r="R119" s="65"/>
      <c r="S119" s="65"/>
      <c r="T119" s="65"/>
      <c r="U119" s="65"/>
      <c r="V119" s="65"/>
      <c r="W119" s="65"/>
      <c r="X119" s="65"/>
      <c r="Y119" s="65"/>
      <c r="Z119" s="66"/>
      <c r="AA119" s="66"/>
      <c r="AB119" s="66"/>
    </row>
    <row r="120" hidden="1" outlineLevel="1">
      <c r="A120" s="71">
        <v>46490.0</v>
      </c>
      <c r="B120" s="100">
        <f t="shared" si="34"/>
        <v>0</v>
      </c>
      <c r="C120" s="75">
        <v>0.1</v>
      </c>
      <c r="D120" s="76">
        <v>0.05</v>
      </c>
      <c r="E120" s="77">
        <v>3.0</v>
      </c>
      <c r="F120" s="78" t="str">
        <f t="shared" si="35"/>
        <v>#DIV/0!</v>
      </c>
      <c r="G120" s="79">
        <f t="shared" si="36"/>
        <v>5</v>
      </c>
      <c r="H120" s="80">
        <f t="shared" si="37"/>
        <v>2.5</v>
      </c>
      <c r="I120" s="81">
        <f t="shared" si="38"/>
        <v>0</v>
      </c>
      <c r="J120" s="82"/>
      <c r="K120" s="83"/>
      <c r="L120" s="84">
        <f t="shared" si="39"/>
        <v>50</v>
      </c>
      <c r="M120" s="65"/>
      <c r="N120" s="65"/>
      <c r="O120" s="65"/>
      <c r="P120" s="65"/>
      <c r="Q120" s="65"/>
      <c r="R120" s="65"/>
      <c r="S120" s="65"/>
      <c r="T120" s="65"/>
      <c r="U120" s="65"/>
      <c r="V120" s="65"/>
      <c r="W120" s="65"/>
      <c r="X120" s="65"/>
      <c r="Y120" s="65"/>
      <c r="Z120" s="66"/>
      <c r="AA120" s="66"/>
      <c r="AB120" s="66"/>
    </row>
    <row r="121" hidden="1" outlineLevel="1">
      <c r="A121" s="71">
        <v>46491.0</v>
      </c>
      <c r="B121" s="100">
        <f t="shared" si="34"/>
        <v>0</v>
      </c>
      <c r="C121" s="75">
        <v>0.1</v>
      </c>
      <c r="D121" s="76">
        <v>0.05</v>
      </c>
      <c r="E121" s="77">
        <v>3.0</v>
      </c>
      <c r="F121" s="78" t="str">
        <f t="shared" si="35"/>
        <v>#DIV/0!</v>
      </c>
      <c r="G121" s="79">
        <f t="shared" si="36"/>
        <v>5</v>
      </c>
      <c r="H121" s="80">
        <f t="shared" si="37"/>
        <v>2.5</v>
      </c>
      <c r="I121" s="81">
        <f t="shared" si="38"/>
        <v>0</v>
      </c>
      <c r="J121" s="82"/>
      <c r="K121" s="83"/>
      <c r="L121" s="84">
        <f t="shared" si="39"/>
        <v>50</v>
      </c>
      <c r="M121" s="65"/>
      <c r="N121" s="65"/>
      <c r="O121" s="65"/>
      <c r="P121" s="65"/>
      <c r="Q121" s="65"/>
      <c r="R121" s="65"/>
      <c r="S121" s="65"/>
      <c r="T121" s="65"/>
      <c r="U121" s="65"/>
      <c r="V121" s="65"/>
      <c r="W121" s="65"/>
      <c r="X121" s="65"/>
      <c r="Y121" s="65"/>
      <c r="Z121" s="66"/>
      <c r="AA121" s="66"/>
      <c r="AB121" s="66"/>
    </row>
    <row r="122" hidden="1" outlineLevel="1">
      <c r="A122" s="71">
        <v>46492.0</v>
      </c>
      <c r="B122" s="100">
        <f t="shared" si="34"/>
        <v>0</v>
      </c>
      <c r="C122" s="75">
        <v>0.1</v>
      </c>
      <c r="D122" s="76">
        <v>0.05</v>
      </c>
      <c r="E122" s="77">
        <v>3.0</v>
      </c>
      <c r="F122" s="78" t="str">
        <f t="shared" si="35"/>
        <v>#DIV/0!</v>
      </c>
      <c r="G122" s="79">
        <f t="shared" si="36"/>
        <v>5</v>
      </c>
      <c r="H122" s="80">
        <f t="shared" si="37"/>
        <v>2.5</v>
      </c>
      <c r="I122" s="81">
        <f t="shared" si="38"/>
        <v>0</v>
      </c>
      <c r="J122" s="82"/>
      <c r="K122" s="83"/>
      <c r="L122" s="84">
        <f t="shared" si="39"/>
        <v>50</v>
      </c>
      <c r="M122" s="65"/>
      <c r="N122" s="65"/>
      <c r="O122" s="65"/>
      <c r="P122" s="65"/>
      <c r="Q122" s="65"/>
      <c r="R122" s="65"/>
      <c r="S122" s="65"/>
      <c r="T122" s="65"/>
      <c r="U122" s="65"/>
      <c r="V122" s="65"/>
      <c r="W122" s="65"/>
      <c r="X122" s="65"/>
      <c r="Y122" s="65"/>
      <c r="Z122" s="66"/>
      <c r="AA122" s="66"/>
      <c r="AB122" s="66"/>
    </row>
    <row r="123" hidden="1" outlineLevel="1">
      <c r="A123" s="71">
        <v>46493.0</v>
      </c>
      <c r="B123" s="100">
        <f t="shared" si="34"/>
        <v>0</v>
      </c>
      <c r="C123" s="75">
        <v>0.1</v>
      </c>
      <c r="D123" s="76">
        <v>0.05</v>
      </c>
      <c r="E123" s="77">
        <v>3.0</v>
      </c>
      <c r="F123" s="78" t="str">
        <f t="shared" si="35"/>
        <v>#DIV/0!</v>
      </c>
      <c r="G123" s="79">
        <f t="shared" si="36"/>
        <v>5</v>
      </c>
      <c r="H123" s="80">
        <f t="shared" si="37"/>
        <v>2.5</v>
      </c>
      <c r="I123" s="81">
        <f t="shared" si="38"/>
        <v>0</v>
      </c>
      <c r="J123" s="82"/>
      <c r="K123" s="83"/>
      <c r="L123" s="84">
        <f t="shared" si="39"/>
        <v>50</v>
      </c>
      <c r="M123" s="65"/>
      <c r="N123" s="65"/>
      <c r="O123" s="65"/>
      <c r="P123" s="65"/>
      <c r="Q123" s="65"/>
      <c r="R123" s="65"/>
      <c r="S123" s="65"/>
      <c r="T123" s="65"/>
      <c r="U123" s="65"/>
      <c r="V123" s="65"/>
      <c r="W123" s="65"/>
      <c r="X123" s="65"/>
      <c r="Y123" s="65"/>
      <c r="Z123" s="66"/>
      <c r="AA123" s="66"/>
      <c r="AB123" s="66"/>
    </row>
    <row r="124" hidden="1" outlineLevel="1">
      <c r="A124" s="71">
        <v>46494.0</v>
      </c>
      <c r="B124" s="100">
        <f t="shared" si="34"/>
        <v>0</v>
      </c>
      <c r="C124" s="75">
        <v>0.1</v>
      </c>
      <c r="D124" s="76">
        <v>0.05</v>
      </c>
      <c r="E124" s="77">
        <v>3.0</v>
      </c>
      <c r="F124" s="78" t="str">
        <f t="shared" si="35"/>
        <v>#DIV/0!</v>
      </c>
      <c r="G124" s="79">
        <f t="shared" si="36"/>
        <v>5</v>
      </c>
      <c r="H124" s="80">
        <f t="shared" si="37"/>
        <v>2.5</v>
      </c>
      <c r="I124" s="81">
        <f t="shared" si="38"/>
        <v>0</v>
      </c>
      <c r="J124" s="82"/>
      <c r="K124" s="83"/>
      <c r="L124" s="84">
        <f t="shared" si="39"/>
        <v>50</v>
      </c>
      <c r="M124" s="65"/>
      <c r="N124" s="65"/>
      <c r="O124" s="65"/>
      <c r="P124" s="65"/>
      <c r="Q124" s="65"/>
      <c r="R124" s="65"/>
      <c r="S124" s="65"/>
      <c r="T124" s="65"/>
      <c r="U124" s="65"/>
      <c r="V124" s="65"/>
      <c r="W124" s="65"/>
      <c r="X124" s="65"/>
      <c r="Y124" s="65"/>
      <c r="Z124" s="66"/>
      <c r="AA124" s="66"/>
      <c r="AB124" s="66"/>
    </row>
    <row r="125" hidden="1" outlineLevel="1">
      <c r="A125" s="71">
        <v>46495.0</v>
      </c>
      <c r="B125" s="100">
        <f t="shared" si="34"/>
        <v>0</v>
      </c>
      <c r="C125" s="75">
        <v>0.1</v>
      </c>
      <c r="D125" s="76">
        <v>0.05</v>
      </c>
      <c r="E125" s="77">
        <v>3.0</v>
      </c>
      <c r="F125" s="78" t="str">
        <f t="shared" si="35"/>
        <v>#DIV/0!</v>
      </c>
      <c r="G125" s="79">
        <f t="shared" si="36"/>
        <v>5</v>
      </c>
      <c r="H125" s="80">
        <f t="shared" si="37"/>
        <v>2.5</v>
      </c>
      <c r="I125" s="81">
        <f t="shared" si="38"/>
        <v>0</v>
      </c>
      <c r="J125" s="82"/>
      <c r="K125" s="83"/>
      <c r="L125" s="84">
        <f t="shared" si="39"/>
        <v>50</v>
      </c>
      <c r="M125" s="65"/>
      <c r="N125" s="65"/>
      <c r="O125" s="65"/>
      <c r="P125" s="65"/>
      <c r="Q125" s="65"/>
      <c r="R125" s="65"/>
      <c r="S125" s="65"/>
      <c r="T125" s="65"/>
      <c r="U125" s="65"/>
      <c r="V125" s="65"/>
      <c r="W125" s="65"/>
      <c r="X125" s="65"/>
      <c r="Y125" s="65"/>
      <c r="Z125" s="66"/>
      <c r="AA125" s="66"/>
      <c r="AB125" s="66"/>
    </row>
    <row r="126" hidden="1" outlineLevel="1">
      <c r="A126" s="71">
        <v>46496.0</v>
      </c>
      <c r="B126" s="100">
        <f t="shared" si="34"/>
        <v>0</v>
      </c>
      <c r="C126" s="75">
        <v>0.1</v>
      </c>
      <c r="D126" s="76">
        <v>0.05</v>
      </c>
      <c r="E126" s="77">
        <v>3.0</v>
      </c>
      <c r="F126" s="78" t="str">
        <f t="shared" si="35"/>
        <v>#DIV/0!</v>
      </c>
      <c r="G126" s="79">
        <f t="shared" si="36"/>
        <v>5</v>
      </c>
      <c r="H126" s="80">
        <f t="shared" si="37"/>
        <v>2.5</v>
      </c>
      <c r="I126" s="81">
        <f t="shared" si="38"/>
        <v>0</v>
      </c>
      <c r="J126" s="82"/>
      <c r="K126" s="83"/>
      <c r="L126" s="84">
        <f t="shared" si="39"/>
        <v>50</v>
      </c>
      <c r="M126" s="65"/>
      <c r="N126" s="65"/>
      <c r="O126" s="65"/>
      <c r="P126" s="65"/>
      <c r="Q126" s="65"/>
      <c r="R126" s="65"/>
      <c r="S126" s="65"/>
      <c r="T126" s="65"/>
      <c r="U126" s="65"/>
      <c r="V126" s="65"/>
      <c r="W126" s="65"/>
      <c r="X126" s="65"/>
      <c r="Y126" s="65"/>
      <c r="Z126" s="66"/>
      <c r="AA126" s="66"/>
      <c r="AB126" s="66"/>
    </row>
    <row r="127" hidden="1" outlineLevel="1">
      <c r="A127" s="71">
        <v>46497.0</v>
      </c>
      <c r="B127" s="100">
        <f t="shared" si="34"/>
        <v>0</v>
      </c>
      <c r="C127" s="75">
        <v>0.1</v>
      </c>
      <c r="D127" s="76">
        <v>0.05</v>
      </c>
      <c r="E127" s="77">
        <v>3.0</v>
      </c>
      <c r="F127" s="78" t="str">
        <f t="shared" si="35"/>
        <v>#DIV/0!</v>
      </c>
      <c r="G127" s="79">
        <f t="shared" si="36"/>
        <v>5</v>
      </c>
      <c r="H127" s="80">
        <f t="shared" si="37"/>
        <v>2.5</v>
      </c>
      <c r="I127" s="81">
        <f t="shared" si="38"/>
        <v>0</v>
      </c>
      <c r="J127" s="82"/>
      <c r="K127" s="83"/>
      <c r="L127" s="84">
        <f t="shared" si="39"/>
        <v>50</v>
      </c>
      <c r="M127" s="65"/>
      <c r="N127" s="65"/>
      <c r="O127" s="65"/>
      <c r="P127" s="65"/>
      <c r="Q127" s="65"/>
      <c r="R127" s="65"/>
      <c r="S127" s="65"/>
      <c r="T127" s="65"/>
      <c r="U127" s="65"/>
      <c r="V127" s="65"/>
      <c r="W127" s="65"/>
      <c r="X127" s="65"/>
      <c r="Y127" s="65"/>
      <c r="Z127" s="66"/>
      <c r="AA127" s="66"/>
      <c r="AB127" s="66"/>
    </row>
    <row r="128" hidden="1" outlineLevel="1">
      <c r="A128" s="71">
        <v>46498.0</v>
      </c>
      <c r="B128" s="100">
        <f t="shared" si="34"/>
        <v>0</v>
      </c>
      <c r="C128" s="75">
        <v>0.1</v>
      </c>
      <c r="D128" s="76">
        <v>0.05</v>
      </c>
      <c r="E128" s="77">
        <v>3.0</v>
      </c>
      <c r="F128" s="78" t="str">
        <f t="shared" si="35"/>
        <v>#DIV/0!</v>
      </c>
      <c r="G128" s="79">
        <f t="shared" si="36"/>
        <v>5</v>
      </c>
      <c r="H128" s="80">
        <f t="shared" si="37"/>
        <v>2.5</v>
      </c>
      <c r="I128" s="81">
        <f t="shared" si="38"/>
        <v>0</v>
      </c>
      <c r="J128" s="82"/>
      <c r="K128" s="83"/>
      <c r="L128" s="84">
        <f t="shared" si="39"/>
        <v>50</v>
      </c>
      <c r="M128" s="65"/>
      <c r="N128" s="65"/>
      <c r="O128" s="65"/>
      <c r="P128" s="65"/>
      <c r="Q128" s="65"/>
      <c r="R128" s="65"/>
      <c r="S128" s="65"/>
      <c r="T128" s="65"/>
      <c r="U128" s="65"/>
      <c r="V128" s="65"/>
      <c r="W128" s="65"/>
      <c r="X128" s="65"/>
      <c r="Y128" s="65"/>
      <c r="Z128" s="66"/>
      <c r="AA128" s="66"/>
      <c r="AB128" s="66"/>
    </row>
    <row r="129" hidden="1" outlineLevel="1">
      <c r="A129" s="71">
        <v>46499.0</v>
      </c>
      <c r="B129" s="100">
        <f t="shared" si="34"/>
        <v>0</v>
      </c>
      <c r="C129" s="75">
        <v>0.1</v>
      </c>
      <c r="D129" s="76">
        <v>0.05</v>
      </c>
      <c r="E129" s="77">
        <v>3.0</v>
      </c>
      <c r="F129" s="78" t="str">
        <f t="shared" si="35"/>
        <v>#DIV/0!</v>
      </c>
      <c r="G129" s="79">
        <f t="shared" si="36"/>
        <v>5</v>
      </c>
      <c r="H129" s="80">
        <f t="shared" si="37"/>
        <v>2.5</v>
      </c>
      <c r="I129" s="81">
        <f t="shared" si="38"/>
        <v>0</v>
      </c>
      <c r="J129" s="82"/>
      <c r="K129" s="83"/>
      <c r="L129" s="84">
        <f t="shared" si="39"/>
        <v>50</v>
      </c>
      <c r="M129" s="65"/>
      <c r="N129" s="65"/>
      <c r="O129" s="65"/>
      <c r="P129" s="65"/>
      <c r="Q129" s="65"/>
      <c r="R129" s="65"/>
      <c r="S129" s="65"/>
      <c r="T129" s="65"/>
      <c r="U129" s="65"/>
      <c r="V129" s="65"/>
      <c r="W129" s="65"/>
      <c r="X129" s="65"/>
      <c r="Y129" s="65"/>
      <c r="Z129" s="66"/>
      <c r="AA129" s="66"/>
      <c r="AB129" s="66"/>
    </row>
    <row r="130" hidden="1" outlineLevel="1">
      <c r="A130" s="71">
        <v>46500.0</v>
      </c>
      <c r="B130" s="100">
        <f t="shared" si="34"/>
        <v>0</v>
      </c>
      <c r="C130" s="75">
        <v>0.1</v>
      </c>
      <c r="D130" s="76">
        <v>0.05</v>
      </c>
      <c r="E130" s="77">
        <v>3.0</v>
      </c>
      <c r="F130" s="78" t="str">
        <f t="shared" si="35"/>
        <v>#DIV/0!</v>
      </c>
      <c r="G130" s="79">
        <f t="shared" si="36"/>
        <v>5</v>
      </c>
      <c r="H130" s="80">
        <f t="shared" si="37"/>
        <v>2.5</v>
      </c>
      <c r="I130" s="81">
        <f t="shared" si="38"/>
        <v>0</v>
      </c>
      <c r="J130" s="82"/>
      <c r="K130" s="83"/>
      <c r="L130" s="84">
        <f t="shared" si="39"/>
        <v>50</v>
      </c>
      <c r="M130" s="65"/>
      <c r="N130" s="65"/>
      <c r="O130" s="65"/>
      <c r="P130" s="65"/>
      <c r="Q130" s="65"/>
      <c r="R130" s="65"/>
      <c r="S130" s="65"/>
      <c r="T130" s="65"/>
      <c r="U130" s="65"/>
      <c r="V130" s="65"/>
      <c r="W130" s="65"/>
      <c r="X130" s="65"/>
      <c r="Y130" s="65"/>
      <c r="Z130" s="66"/>
      <c r="AA130" s="66"/>
      <c r="AB130" s="66"/>
    </row>
    <row r="131" hidden="1" outlineLevel="1">
      <c r="A131" s="71">
        <v>46501.0</v>
      </c>
      <c r="B131" s="100">
        <f t="shared" si="34"/>
        <v>0</v>
      </c>
      <c r="C131" s="75">
        <v>0.1</v>
      </c>
      <c r="D131" s="76">
        <v>0.05</v>
      </c>
      <c r="E131" s="77">
        <v>3.0</v>
      </c>
      <c r="F131" s="78" t="str">
        <f t="shared" si="35"/>
        <v>#DIV/0!</v>
      </c>
      <c r="G131" s="79">
        <f t="shared" si="36"/>
        <v>5</v>
      </c>
      <c r="H131" s="80">
        <f t="shared" si="37"/>
        <v>2.5</v>
      </c>
      <c r="I131" s="81">
        <f t="shared" si="38"/>
        <v>0</v>
      </c>
      <c r="J131" s="82"/>
      <c r="K131" s="83"/>
      <c r="L131" s="84">
        <f t="shared" si="39"/>
        <v>50</v>
      </c>
      <c r="M131" s="65"/>
      <c r="N131" s="65"/>
      <c r="O131" s="65"/>
      <c r="P131" s="65"/>
      <c r="Q131" s="65"/>
      <c r="R131" s="65"/>
      <c r="S131" s="65"/>
      <c r="T131" s="65"/>
      <c r="U131" s="65"/>
      <c r="V131" s="65"/>
      <c r="W131" s="65"/>
      <c r="X131" s="65"/>
      <c r="Y131" s="65"/>
      <c r="Z131" s="66"/>
      <c r="AA131" s="66"/>
      <c r="AB131" s="66"/>
    </row>
    <row r="132" hidden="1" outlineLevel="1">
      <c r="A132" s="71">
        <v>46502.0</v>
      </c>
      <c r="B132" s="100">
        <f t="shared" si="34"/>
        <v>0</v>
      </c>
      <c r="C132" s="75">
        <v>0.1</v>
      </c>
      <c r="D132" s="76">
        <v>0.05</v>
      </c>
      <c r="E132" s="77">
        <v>3.0</v>
      </c>
      <c r="F132" s="78" t="str">
        <f t="shared" si="35"/>
        <v>#DIV/0!</v>
      </c>
      <c r="G132" s="79">
        <f t="shared" si="36"/>
        <v>5</v>
      </c>
      <c r="H132" s="80">
        <f t="shared" si="37"/>
        <v>2.5</v>
      </c>
      <c r="I132" s="81">
        <f t="shared" si="38"/>
        <v>0</v>
      </c>
      <c r="J132" s="82"/>
      <c r="K132" s="83"/>
      <c r="L132" s="84">
        <f t="shared" si="39"/>
        <v>50</v>
      </c>
      <c r="M132" s="65"/>
      <c r="N132" s="65"/>
      <c r="O132" s="65"/>
      <c r="P132" s="65"/>
      <c r="Q132" s="65"/>
      <c r="R132" s="65"/>
      <c r="S132" s="65"/>
      <c r="T132" s="65"/>
      <c r="U132" s="65"/>
      <c r="V132" s="65"/>
      <c r="W132" s="65"/>
      <c r="X132" s="65"/>
      <c r="Y132" s="65"/>
      <c r="Z132" s="66"/>
      <c r="AA132" s="66"/>
      <c r="AB132" s="66"/>
    </row>
    <row r="133" hidden="1" outlineLevel="1">
      <c r="A133" s="71">
        <v>46503.0</v>
      </c>
      <c r="B133" s="100">
        <f t="shared" si="34"/>
        <v>0</v>
      </c>
      <c r="C133" s="75">
        <v>0.1</v>
      </c>
      <c r="D133" s="76">
        <v>0.05</v>
      </c>
      <c r="E133" s="77">
        <v>3.0</v>
      </c>
      <c r="F133" s="78" t="str">
        <f t="shared" si="35"/>
        <v>#DIV/0!</v>
      </c>
      <c r="G133" s="79">
        <f t="shared" si="36"/>
        <v>5</v>
      </c>
      <c r="H133" s="80">
        <f t="shared" si="37"/>
        <v>2.5</v>
      </c>
      <c r="I133" s="81">
        <f t="shared" si="38"/>
        <v>0</v>
      </c>
      <c r="J133" s="82"/>
      <c r="K133" s="83"/>
      <c r="L133" s="84">
        <f t="shared" si="39"/>
        <v>50</v>
      </c>
      <c r="M133" s="65"/>
      <c r="N133" s="65"/>
      <c r="O133" s="65"/>
      <c r="P133" s="65"/>
      <c r="Q133" s="65"/>
      <c r="R133" s="65"/>
      <c r="S133" s="65"/>
      <c r="T133" s="65"/>
      <c r="U133" s="65"/>
      <c r="V133" s="65"/>
      <c r="W133" s="65"/>
      <c r="X133" s="65"/>
      <c r="Y133" s="65"/>
      <c r="Z133" s="66"/>
      <c r="AA133" s="66"/>
      <c r="AB133" s="66"/>
    </row>
    <row r="134" hidden="1" outlineLevel="1">
      <c r="A134" s="71">
        <v>46504.0</v>
      </c>
      <c r="B134" s="100">
        <f t="shared" si="34"/>
        <v>0</v>
      </c>
      <c r="C134" s="75">
        <v>0.1</v>
      </c>
      <c r="D134" s="76">
        <v>0.05</v>
      </c>
      <c r="E134" s="77">
        <v>3.0</v>
      </c>
      <c r="F134" s="78" t="str">
        <f t="shared" si="35"/>
        <v>#DIV/0!</v>
      </c>
      <c r="G134" s="79">
        <f t="shared" si="36"/>
        <v>5</v>
      </c>
      <c r="H134" s="80">
        <f t="shared" si="37"/>
        <v>2.5</v>
      </c>
      <c r="I134" s="81">
        <f t="shared" si="38"/>
        <v>0</v>
      </c>
      <c r="J134" s="82"/>
      <c r="K134" s="83"/>
      <c r="L134" s="84">
        <f t="shared" si="39"/>
        <v>50</v>
      </c>
      <c r="M134" s="65"/>
      <c r="N134" s="65"/>
      <c r="O134" s="65"/>
      <c r="P134" s="65"/>
      <c r="Q134" s="65"/>
      <c r="R134" s="65"/>
      <c r="S134" s="65"/>
      <c r="T134" s="65"/>
      <c r="U134" s="65"/>
      <c r="V134" s="65"/>
      <c r="W134" s="65"/>
      <c r="X134" s="65"/>
      <c r="Y134" s="65"/>
      <c r="Z134" s="66"/>
      <c r="AA134" s="66"/>
      <c r="AB134" s="66"/>
    </row>
    <row r="135" hidden="1" outlineLevel="1">
      <c r="A135" s="71">
        <v>46505.0</v>
      </c>
      <c r="B135" s="100">
        <f t="shared" si="34"/>
        <v>0</v>
      </c>
      <c r="C135" s="75">
        <v>0.1</v>
      </c>
      <c r="D135" s="76">
        <v>0.05</v>
      </c>
      <c r="E135" s="77">
        <v>3.0</v>
      </c>
      <c r="F135" s="78" t="str">
        <f t="shared" si="35"/>
        <v>#DIV/0!</v>
      </c>
      <c r="G135" s="79">
        <f t="shared" si="36"/>
        <v>5</v>
      </c>
      <c r="H135" s="80">
        <f t="shared" si="37"/>
        <v>2.5</v>
      </c>
      <c r="I135" s="81">
        <f t="shared" si="38"/>
        <v>0</v>
      </c>
      <c r="J135" s="82"/>
      <c r="K135" s="83"/>
      <c r="L135" s="84">
        <f t="shared" si="39"/>
        <v>50</v>
      </c>
      <c r="M135" s="65"/>
      <c r="N135" s="65"/>
      <c r="O135" s="65"/>
      <c r="P135" s="65"/>
      <c r="Q135" s="65"/>
      <c r="R135" s="65"/>
      <c r="S135" s="65"/>
      <c r="T135" s="65"/>
      <c r="U135" s="65"/>
      <c r="V135" s="65"/>
      <c r="W135" s="65"/>
      <c r="X135" s="65"/>
      <c r="Y135" s="65"/>
      <c r="Z135" s="66"/>
      <c r="AA135" s="66"/>
      <c r="AB135" s="66"/>
    </row>
    <row r="136" hidden="1" outlineLevel="1">
      <c r="A136" s="71">
        <v>46506.0</v>
      </c>
      <c r="B136" s="100">
        <f t="shared" si="34"/>
        <v>0</v>
      </c>
      <c r="C136" s="75">
        <v>0.1</v>
      </c>
      <c r="D136" s="76">
        <v>0.05</v>
      </c>
      <c r="E136" s="77">
        <v>3.0</v>
      </c>
      <c r="F136" s="78" t="str">
        <f t="shared" si="35"/>
        <v>#DIV/0!</v>
      </c>
      <c r="G136" s="79">
        <f t="shared" si="36"/>
        <v>5</v>
      </c>
      <c r="H136" s="80">
        <f t="shared" si="37"/>
        <v>2.5</v>
      </c>
      <c r="I136" s="81">
        <f t="shared" si="38"/>
        <v>0</v>
      </c>
      <c r="J136" s="82"/>
      <c r="K136" s="83"/>
      <c r="L136" s="84">
        <f t="shared" si="39"/>
        <v>50</v>
      </c>
      <c r="M136" s="65"/>
      <c r="N136" s="65"/>
      <c r="O136" s="65"/>
      <c r="P136" s="65"/>
      <c r="Q136" s="65"/>
      <c r="R136" s="65"/>
      <c r="S136" s="65"/>
      <c r="T136" s="65"/>
      <c r="U136" s="65"/>
      <c r="V136" s="65"/>
      <c r="W136" s="65"/>
      <c r="X136" s="65"/>
      <c r="Y136" s="65"/>
      <c r="Z136" s="66"/>
      <c r="AA136" s="66"/>
      <c r="AB136" s="66"/>
    </row>
    <row r="137" hidden="1" outlineLevel="1">
      <c r="A137" s="71">
        <v>46507.0</v>
      </c>
      <c r="B137" s="100">
        <f t="shared" si="34"/>
        <v>0</v>
      </c>
      <c r="C137" s="75">
        <v>0.1</v>
      </c>
      <c r="D137" s="76">
        <v>0.05</v>
      </c>
      <c r="E137" s="77">
        <v>3.0</v>
      </c>
      <c r="F137" s="78" t="str">
        <f t="shared" si="35"/>
        <v>#DIV/0!</v>
      </c>
      <c r="G137" s="79">
        <f t="shared" si="36"/>
        <v>5</v>
      </c>
      <c r="H137" s="80">
        <f t="shared" si="37"/>
        <v>2.5</v>
      </c>
      <c r="I137" s="81">
        <f t="shared" si="38"/>
        <v>0</v>
      </c>
      <c r="J137" s="82"/>
      <c r="K137" s="83"/>
      <c r="L137" s="84">
        <f t="shared" si="39"/>
        <v>50</v>
      </c>
      <c r="M137" s="65"/>
      <c r="N137" s="65"/>
      <c r="O137" s="65"/>
      <c r="P137" s="65"/>
      <c r="Q137" s="65"/>
      <c r="R137" s="65"/>
      <c r="S137" s="65"/>
      <c r="T137" s="65"/>
      <c r="U137" s="65"/>
      <c r="V137" s="65"/>
      <c r="W137" s="65"/>
      <c r="X137" s="65"/>
      <c r="Y137" s="65"/>
      <c r="Z137" s="66"/>
      <c r="AA137" s="66"/>
      <c r="AB137" s="66"/>
    </row>
    <row r="138" hidden="1" outlineLevel="1">
      <c r="A138" s="85" t="s">
        <v>41</v>
      </c>
      <c r="C138" s="86">
        <f>SUM(C108:C137)</f>
        <v>3</v>
      </c>
      <c r="D138" s="87"/>
      <c r="E138" s="87"/>
      <c r="F138" s="87"/>
      <c r="G138" s="87"/>
      <c r="H138" s="87"/>
      <c r="I138" s="88">
        <f t="shared" ref="I138:K138" si="40">SUM(I108:I137)</f>
        <v>0</v>
      </c>
      <c r="J138" s="89">
        <f t="shared" si="40"/>
        <v>0</v>
      </c>
      <c r="K138" s="87">
        <f t="shared" si="40"/>
        <v>0</v>
      </c>
      <c r="L138" s="89">
        <f>L137</f>
        <v>50</v>
      </c>
      <c r="M138" s="65"/>
      <c r="N138" s="65"/>
      <c r="O138" s="65"/>
      <c r="P138" s="65"/>
      <c r="Q138" s="65"/>
      <c r="R138" s="65"/>
      <c r="S138" s="65"/>
      <c r="T138" s="65"/>
      <c r="U138" s="65"/>
      <c r="V138" s="65"/>
      <c r="W138" s="65"/>
      <c r="X138" s="65"/>
      <c r="Y138" s="65"/>
      <c r="Z138" s="66"/>
      <c r="AA138" s="66"/>
      <c r="AB138" s="66"/>
    </row>
    <row r="139">
      <c r="A139" s="95"/>
      <c r="B139" s="92"/>
      <c r="C139" s="92"/>
      <c r="D139" s="92"/>
      <c r="E139" s="92"/>
      <c r="F139" s="92"/>
      <c r="G139" s="92"/>
      <c r="H139" s="92"/>
      <c r="I139" s="92"/>
      <c r="J139" s="92"/>
      <c r="K139" s="94">
        <f>SUM(K108:K137)</f>
        <v>0</v>
      </c>
      <c r="L139" s="92"/>
      <c r="M139" s="65"/>
      <c r="N139" s="65"/>
      <c r="O139" s="65"/>
      <c r="P139" s="65"/>
      <c r="Q139" s="65"/>
      <c r="R139" s="65"/>
      <c r="S139" s="65"/>
      <c r="T139" s="65"/>
      <c r="U139" s="65"/>
      <c r="V139" s="65"/>
      <c r="W139" s="65"/>
      <c r="X139" s="65"/>
      <c r="Y139" s="65"/>
      <c r="Z139" s="66"/>
      <c r="AA139" s="66"/>
      <c r="AB139" s="66"/>
    </row>
    <row r="140" collapsed="1">
      <c r="A140" s="57" t="s">
        <v>46</v>
      </c>
      <c r="M140" s="65"/>
      <c r="N140" s="65"/>
      <c r="O140" s="65"/>
      <c r="P140" s="65"/>
      <c r="Q140" s="65"/>
      <c r="R140" s="65"/>
      <c r="S140" s="65"/>
      <c r="T140" s="65"/>
      <c r="U140" s="65"/>
      <c r="V140" s="65"/>
      <c r="W140" s="65"/>
      <c r="X140" s="65"/>
      <c r="Y140" s="65"/>
      <c r="Z140" s="66"/>
      <c r="AA140" s="66"/>
      <c r="AB140" s="66"/>
    </row>
    <row r="141" hidden="1" outlineLevel="1">
      <c r="A141" s="71" t="s">
        <v>29</v>
      </c>
      <c r="B141" s="57" t="s">
        <v>30</v>
      </c>
      <c r="C141" s="57" t="s">
        <v>31</v>
      </c>
      <c r="D141" s="72" t="s">
        <v>32</v>
      </c>
      <c r="E141" s="72" t="s">
        <v>33</v>
      </c>
      <c r="F141" s="72" t="s">
        <v>34</v>
      </c>
      <c r="G141" s="73" t="s">
        <v>35</v>
      </c>
      <c r="H141" s="72" t="s">
        <v>36</v>
      </c>
      <c r="I141" s="57" t="s">
        <v>37</v>
      </c>
      <c r="J141" s="74" t="s">
        <v>38</v>
      </c>
      <c r="K141" s="57" t="s">
        <v>39</v>
      </c>
      <c r="L141" s="57" t="s">
        <v>40</v>
      </c>
      <c r="M141" s="65"/>
      <c r="N141" s="65"/>
      <c r="O141" s="65"/>
      <c r="P141" s="65"/>
      <c r="Q141" s="65"/>
      <c r="R141" s="65"/>
      <c r="S141" s="65"/>
      <c r="T141" s="65"/>
      <c r="U141" s="65"/>
      <c r="V141" s="65"/>
      <c r="W141" s="65"/>
      <c r="X141" s="65"/>
      <c r="Y141" s="65"/>
      <c r="Z141" s="66"/>
      <c r="AA141" s="66"/>
      <c r="AB141" s="66"/>
    </row>
    <row r="142" hidden="1" outlineLevel="1">
      <c r="A142" s="71">
        <v>46508.0</v>
      </c>
      <c r="B142" s="100">
        <f t="shared" ref="B142:B172" si="41">ROUND(AVERAGE((H142/1000)/E142), 2)</f>
        <v>0</v>
      </c>
      <c r="C142" s="75">
        <v>0.1</v>
      </c>
      <c r="D142" s="76">
        <v>0.05</v>
      </c>
      <c r="E142" s="77">
        <v>3.0</v>
      </c>
      <c r="F142" s="78" t="str">
        <f t="shared" ref="F142:F172" si="42">H142/B142</f>
        <v>#DIV/0!</v>
      </c>
      <c r="G142" s="79">
        <f>L138*C142</f>
        <v>5</v>
      </c>
      <c r="H142" s="80">
        <f>L138*D142</f>
        <v>2.5</v>
      </c>
      <c r="I142" s="81" t="str">
        <f>(J142/B137)*100</f>
        <v>#DIV/0!</v>
      </c>
      <c r="J142" s="82"/>
      <c r="K142" s="83"/>
      <c r="L142" s="84">
        <f>(L138+J142)-K142</f>
        <v>50</v>
      </c>
      <c r="M142" s="65"/>
      <c r="N142" s="65"/>
      <c r="O142" s="65"/>
      <c r="P142" s="65"/>
      <c r="Q142" s="65"/>
      <c r="R142" s="65"/>
      <c r="S142" s="65"/>
      <c r="T142" s="65"/>
      <c r="U142" s="65"/>
      <c r="V142" s="65"/>
      <c r="W142" s="65"/>
      <c r="X142" s="65"/>
      <c r="Y142" s="65"/>
      <c r="Z142" s="66"/>
      <c r="AA142" s="66"/>
      <c r="AB142" s="66"/>
    </row>
    <row r="143" hidden="1" outlineLevel="1">
      <c r="A143" s="71">
        <v>46509.0</v>
      </c>
      <c r="B143" s="100">
        <f t="shared" si="41"/>
        <v>0</v>
      </c>
      <c r="C143" s="75">
        <v>0.1</v>
      </c>
      <c r="D143" s="76">
        <v>0.05</v>
      </c>
      <c r="E143" s="77">
        <v>3.0</v>
      </c>
      <c r="F143" s="78" t="str">
        <f t="shared" si="42"/>
        <v>#DIV/0!</v>
      </c>
      <c r="G143" s="79">
        <f t="shared" ref="G143:G172" si="43">L142*C143</f>
        <v>5</v>
      </c>
      <c r="H143" s="80">
        <f t="shared" ref="H143:H172" si="44">L142*D143</f>
        <v>2.5</v>
      </c>
      <c r="I143" s="81">
        <f t="shared" ref="I143:I172" si="45">(J143/L142)*100</f>
        <v>0</v>
      </c>
      <c r="J143" s="82"/>
      <c r="K143" s="83"/>
      <c r="L143" s="84">
        <f t="shared" ref="L143:L172" si="46">(L142+J143)-K143</f>
        <v>50</v>
      </c>
      <c r="M143" s="65"/>
      <c r="N143" s="65"/>
      <c r="O143" s="65"/>
      <c r="P143" s="65"/>
      <c r="Q143" s="65"/>
      <c r="R143" s="65"/>
      <c r="S143" s="65"/>
      <c r="T143" s="65"/>
      <c r="U143" s="65"/>
      <c r="V143" s="65"/>
      <c r="W143" s="65"/>
      <c r="X143" s="65"/>
      <c r="Y143" s="65"/>
      <c r="Z143" s="66"/>
      <c r="AA143" s="66"/>
      <c r="AB143" s="66"/>
    </row>
    <row r="144" hidden="1" outlineLevel="1">
      <c r="A144" s="71">
        <v>46510.0</v>
      </c>
      <c r="B144" s="100">
        <f t="shared" si="41"/>
        <v>0</v>
      </c>
      <c r="C144" s="75">
        <v>0.1</v>
      </c>
      <c r="D144" s="76">
        <v>0.05</v>
      </c>
      <c r="E144" s="77">
        <v>3.0</v>
      </c>
      <c r="F144" s="78" t="str">
        <f t="shared" si="42"/>
        <v>#DIV/0!</v>
      </c>
      <c r="G144" s="79">
        <f t="shared" si="43"/>
        <v>5</v>
      </c>
      <c r="H144" s="80">
        <f t="shared" si="44"/>
        <v>2.5</v>
      </c>
      <c r="I144" s="81">
        <f t="shared" si="45"/>
        <v>0</v>
      </c>
      <c r="J144" s="82"/>
      <c r="K144" s="83"/>
      <c r="L144" s="84">
        <f t="shared" si="46"/>
        <v>50</v>
      </c>
      <c r="M144" s="65"/>
      <c r="N144" s="65"/>
      <c r="O144" s="65"/>
      <c r="P144" s="65"/>
      <c r="Q144" s="65"/>
      <c r="R144" s="65"/>
      <c r="S144" s="65"/>
      <c r="T144" s="65"/>
      <c r="U144" s="65"/>
      <c r="V144" s="65"/>
      <c r="W144" s="65"/>
      <c r="X144" s="65"/>
      <c r="Y144" s="65"/>
      <c r="Z144" s="66"/>
      <c r="AA144" s="66"/>
      <c r="AB144" s="66"/>
    </row>
    <row r="145" hidden="1" outlineLevel="1">
      <c r="A145" s="71">
        <v>46511.0</v>
      </c>
      <c r="B145" s="100">
        <f t="shared" si="41"/>
        <v>0</v>
      </c>
      <c r="C145" s="75">
        <v>0.1</v>
      </c>
      <c r="D145" s="76">
        <v>0.05</v>
      </c>
      <c r="E145" s="77">
        <v>3.0</v>
      </c>
      <c r="F145" s="78" t="str">
        <f t="shared" si="42"/>
        <v>#DIV/0!</v>
      </c>
      <c r="G145" s="79">
        <f t="shared" si="43"/>
        <v>5</v>
      </c>
      <c r="H145" s="80">
        <f t="shared" si="44"/>
        <v>2.5</v>
      </c>
      <c r="I145" s="81">
        <f t="shared" si="45"/>
        <v>0</v>
      </c>
      <c r="J145" s="82"/>
      <c r="K145" s="83"/>
      <c r="L145" s="84">
        <f t="shared" si="46"/>
        <v>50</v>
      </c>
      <c r="M145" s="65"/>
      <c r="N145" s="65"/>
      <c r="O145" s="65"/>
      <c r="P145" s="65"/>
      <c r="Q145" s="65"/>
      <c r="R145" s="65"/>
      <c r="S145" s="65"/>
      <c r="T145" s="65"/>
      <c r="U145" s="65"/>
      <c r="V145" s="65"/>
      <c r="W145" s="65"/>
      <c r="X145" s="65"/>
      <c r="Y145" s="65"/>
      <c r="Z145" s="66"/>
      <c r="AA145" s="66"/>
      <c r="AB145" s="66"/>
    </row>
    <row r="146" hidden="1" outlineLevel="1">
      <c r="A146" s="71">
        <v>46512.0</v>
      </c>
      <c r="B146" s="100">
        <f t="shared" si="41"/>
        <v>0</v>
      </c>
      <c r="C146" s="75">
        <v>0.1</v>
      </c>
      <c r="D146" s="76">
        <v>0.05</v>
      </c>
      <c r="E146" s="77">
        <v>3.0</v>
      </c>
      <c r="F146" s="78" t="str">
        <f t="shared" si="42"/>
        <v>#DIV/0!</v>
      </c>
      <c r="G146" s="79">
        <f t="shared" si="43"/>
        <v>5</v>
      </c>
      <c r="H146" s="80">
        <f t="shared" si="44"/>
        <v>2.5</v>
      </c>
      <c r="I146" s="81">
        <f t="shared" si="45"/>
        <v>0</v>
      </c>
      <c r="J146" s="82"/>
      <c r="K146" s="83"/>
      <c r="L146" s="84">
        <f t="shared" si="46"/>
        <v>50</v>
      </c>
      <c r="M146" s="65"/>
      <c r="N146" s="65"/>
      <c r="O146" s="65"/>
      <c r="P146" s="65"/>
      <c r="Q146" s="65"/>
      <c r="R146" s="65"/>
      <c r="S146" s="65"/>
      <c r="T146" s="65"/>
      <c r="U146" s="65"/>
      <c r="V146" s="65"/>
      <c r="W146" s="65"/>
      <c r="X146" s="65"/>
      <c r="Y146" s="65"/>
      <c r="Z146" s="66"/>
      <c r="AA146" s="66"/>
      <c r="AB146" s="66"/>
    </row>
    <row r="147" hidden="1" outlineLevel="1">
      <c r="A147" s="71">
        <v>46513.0</v>
      </c>
      <c r="B147" s="100">
        <f t="shared" si="41"/>
        <v>0</v>
      </c>
      <c r="C147" s="75">
        <v>0.1</v>
      </c>
      <c r="D147" s="76">
        <v>0.05</v>
      </c>
      <c r="E147" s="77">
        <v>3.0</v>
      </c>
      <c r="F147" s="78" t="str">
        <f t="shared" si="42"/>
        <v>#DIV/0!</v>
      </c>
      <c r="G147" s="79">
        <f t="shared" si="43"/>
        <v>5</v>
      </c>
      <c r="H147" s="80">
        <f t="shared" si="44"/>
        <v>2.5</v>
      </c>
      <c r="I147" s="81">
        <f t="shared" si="45"/>
        <v>0</v>
      </c>
      <c r="J147" s="82"/>
      <c r="K147" s="83"/>
      <c r="L147" s="84">
        <f t="shared" si="46"/>
        <v>50</v>
      </c>
      <c r="M147" s="65"/>
      <c r="N147" s="65"/>
      <c r="O147" s="65"/>
      <c r="P147" s="65"/>
      <c r="Q147" s="65"/>
      <c r="R147" s="65"/>
      <c r="S147" s="65"/>
      <c r="T147" s="65"/>
      <c r="U147" s="65"/>
      <c r="V147" s="65"/>
      <c r="W147" s="65"/>
      <c r="X147" s="65"/>
      <c r="Y147" s="65"/>
      <c r="Z147" s="66"/>
      <c r="AA147" s="66"/>
      <c r="AB147" s="66"/>
    </row>
    <row r="148" hidden="1" outlineLevel="1">
      <c r="A148" s="71">
        <v>46514.0</v>
      </c>
      <c r="B148" s="100">
        <f t="shared" si="41"/>
        <v>0</v>
      </c>
      <c r="C148" s="75">
        <v>0.1</v>
      </c>
      <c r="D148" s="76">
        <v>0.05</v>
      </c>
      <c r="E148" s="77">
        <v>3.0</v>
      </c>
      <c r="F148" s="78" t="str">
        <f t="shared" si="42"/>
        <v>#DIV/0!</v>
      </c>
      <c r="G148" s="79">
        <f t="shared" si="43"/>
        <v>5</v>
      </c>
      <c r="H148" s="80">
        <f t="shared" si="44"/>
        <v>2.5</v>
      </c>
      <c r="I148" s="81">
        <f t="shared" si="45"/>
        <v>0</v>
      </c>
      <c r="J148" s="82"/>
      <c r="K148" s="83"/>
      <c r="L148" s="84">
        <f t="shared" si="46"/>
        <v>50</v>
      </c>
      <c r="M148" s="65"/>
      <c r="N148" s="65"/>
      <c r="O148" s="65"/>
      <c r="P148" s="65"/>
      <c r="Q148" s="65"/>
      <c r="R148" s="65"/>
      <c r="S148" s="65"/>
      <c r="T148" s="65"/>
      <c r="U148" s="65"/>
      <c r="V148" s="65"/>
      <c r="W148" s="65"/>
      <c r="X148" s="65"/>
      <c r="Y148" s="65"/>
      <c r="Z148" s="66"/>
      <c r="AA148" s="66"/>
      <c r="AB148" s="66"/>
    </row>
    <row r="149" hidden="1" outlineLevel="1">
      <c r="A149" s="71">
        <v>46515.0</v>
      </c>
      <c r="B149" s="100">
        <f t="shared" si="41"/>
        <v>0</v>
      </c>
      <c r="C149" s="75">
        <v>0.1</v>
      </c>
      <c r="D149" s="76">
        <v>0.05</v>
      </c>
      <c r="E149" s="77">
        <v>3.0</v>
      </c>
      <c r="F149" s="78" t="str">
        <f t="shared" si="42"/>
        <v>#DIV/0!</v>
      </c>
      <c r="G149" s="79">
        <f t="shared" si="43"/>
        <v>5</v>
      </c>
      <c r="H149" s="80">
        <f t="shared" si="44"/>
        <v>2.5</v>
      </c>
      <c r="I149" s="81">
        <f t="shared" si="45"/>
        <v>0</v>
      </c>
      <c r="J149" s="82"/>
      <c r="K149" s="83"/>
      <c r="L149" s="84">
        <f t="shared" si="46"/>
        <v>50</v>
      </c>
      <c r="M149" s="65"/>
      <c r="N149" s="65"/>
      <c r="O149" s="65"/>
      <c r="P149" s="65"/>
      <c r="Q149" s="65"/>
      <c r="R149" s="65"/>
      <c r="S149" s="65"/>
      <c r="T149" s="65"/>
      <c r="U149" s="65"/>
      <c r="V149" s="65"/>
      <c r="W149" s="65"/>
      <c r="X149" s="65"/>
      <c r="Y149" s="65"/>
      <c r="Z149" s="66"/>
      <c r="AA149" s="66"/>
      <c r="AB149" s="66"/>
    </row>
    <row r="150" hidden="1" outlineLevel="1">
      <c r="A150" s="71">
        <v>46516.0</v>
      </c>
      <c r="B150" s="100">
        <f t="shared" si="41"/>
        <v>0</v>
      </c>
      <c r="C150" s="75">
        <v>0.1</v>
      </c>
      <c r="D150" s="76">
        <v>0.05</v>
      </c>
      <c r="E150" s="77">
        <v>3.0</v>
      </c>
      <c r="F150" s="78" t="str">
        <f t="shared" si="42"/>
        <v>#DIV/0!</v>
      </c>
      <c r="G150" s="79">
        <f t="shared" si="43"/>
        <v>5</v>
      </c>
      <c r="H150" s="80">
        <f t="shared" si="44"/>
        <v>2.5</v>
      </c>
      <c r="I150" s="81">
        <f t="shared" si="45"/>
        <v>0</v>
      </c>
      <c r="J150" s="82"/>
      <c r="K150" s="83"/>
      <c r="L150" s="84">
        <f t="shared" si="46"/>
        <v>50</v>
      </c>
      <c r="M150" s="65"/>
      <c r="N150" s="65"/>
      <c r="O150" s="65"/>
      <c r="P150" s="65"/>
      <c r="Q150" s="65"/>
      <c r="R150" s="65"/>
      <c r="S150" s="65"/>
      <c r="T150" s="65"/>
      <c r="U150" s="65"/>
      <c r="V150" s="65"/>
      <c r="W150" s="65"/>
      <c r="X150" s="65"/>
      <c r="Y150" s="65"/>
      <c r="Z150" s="66"/>
      <c r="AA150" s="66"/>
      <c r="AB150" s="66"/>
    </row>
    <row r="151" hidden="1" outlineLevel="1">
      <c r="A151" s="71">
        <v>46517.0</v>
      </c>
      <c r="B151" s="100">
        <f t="shared" si="41"/>
        <v>0</v>
      </c>
      <c r="C151" s="75">
        <v>0.1</v>
      </c>
      <c r="D151" s="76">
        <v>0.05</v>
      </c>
      <c r="E151" s="77">
        <v>3.0</v>
      </c>
      <c r="F151" s="78" t="str">
        <f t="shared" si="42"/>
        <v>#DIV/0!</v>
      </c>
      <c r="G151" s="79">
        <f t="shared" si="43"/>
        <v>5</v>
      </c>
      <c r="H151" s="80">
        <f t="shared" si="44"/>
        <v>2.5</v>
      </c>
      <c r="I151" s="81">
        <f t="shared" si="45"/>
        <v>0</v>
      </c>
      <c r="J151" s="82"/>
      <c r="K151" s="83"/>
      <c r="L151" s="84">
        <f t="shared" si="46"/>
        <v>50</v>
      </c>
      <c r="M151" s="65"/>
      <c r="N151" s="65"/>
      <c r="O151" s="65"/>
      <c r="P151" s="65"/>
      <c r="Q151" s="65"/>
      <c r="R151" s="65"/>
      <c r="S151" s="65"/>
      <c r="T151" s="65"/>
      <c r="U151" s="65"/>
      <c r="V151" s="65"/>
      <c r="W151" s="65"/>
      <c r="X151" s="65"/>
      <c r="Y151" s="65"/>
      <c r="Z151" s="66"/>
      <c r="AA151" s="66"/>
      <c r="AB151" s="66"/>
    </row>
    <row r="152" hidden="1" outlineLevel="1">
      <c r="A152" s="71">
        <v>46518.0</v>
      </c>
      <c r="B152" s="100">
        <f t="shared" si="41"/>
        <v>0</v>
      </c>
      <c r="C152" s="75">
        <v>0.1</v>
      </c>
      <c r="D152" s="76">
        <v>0.05</v>
      </c>
      <c r="E152" s="77">
        <v>3.0</v>
      </c>
      <c r="F152" s="78" t="str">
        <f t="shared" si="42"/>
        <v>#DIV/0!</v>
      </c>
      <c r="G152" s="79">
        <f t="shared" si="43"/>
        <v>5</v>
      </c>
      <c r="H152" s="80">
        <f t="shared" si="44"/>
        <v>2.5</v>
      </c>
      <c r="I152" s="81">
        <f t="shared" si="45"/>
        <v>0</v>
      </c>
      <c r="J152" s="82"/>
      <c r="K152" s="83"/>
      <c r="L152" s="84">
        <f t="shared" si="46"/>
        <v>50</v>
      </c>
      <c r="M152" s="65"/>
      <c r="N152" s="65"/>
      <c r="O152" s="65"/>
      <c r="P152" s="65"/>
      <c r="Q152" s="65"/>
      <c r="R152" s="65"/>
      <c r="S152" s="65"/>
      <c r="T152" s="65"/>
      <c r="U152" s="65"/>
      <c r="V152" s="65"/>
      <c r="W152" s="65"/>
      <c r="X152" s="65"/>
      <c r="Y152" s="65"/>
      <c r="Z152" s="66"/>
      <c r="AA152" s="66"/>
      <c r="AB152" s="66"/>
    </row>
    <row r="153" hidden="1" outlineLevel="1">
      <c r="A153" s="71">
        <v>46519.0</v>
      </c>
      <c r="B153" s="100">
        <f t="shared" si="41"/>
        <v>0</v>
      </c>
      <c r="C153" s="75">
        <v>0.1</v>
      </c>
      <c r="D153" s="76">
        <v>0.05</v>
      </c>
      <c r="E153" s="77">
        <v>3.0</v>
      </c>
      <c r="F153" s="78" t="str">
        <f t="shared" si="42"/>
        <v>#DIV/0!</v>
      </c>
      <c r="G153" s="79">
        <f t="shared" si="43"/>
        <v>5</v>
      </c>
      <c r="H153" s="80">
        <f t="shared" si="44"/>
        <v>2.5</v>
      </c>
      <c r="I153" s="81">
        <f t="shared" si="45"/>
        <v>0</v>
      </c>
      <c r="J153" s="82"/>
      <c r="K153" s="83"/>
      <c r="L153" s="84">
        <f t="shared" si="46"/>
        <v>50</v>
      </c>
      <c r="M153" s="65"/>
      <c r="N153" s="65"/>
      <c r="O153" s="65"/>
      <c r="P153" s="65"/>
      <c r="Q153" s="65"/>
      <c r="R153" s="65"/>
      <c r="S153" s="65"/>
      <c r="T153" s="65"/>
      <c r="U153" s="65"/>
      <c r="V153" s="65"/>
      <c r="W153" s="65"/>
      <c r="X153" s="65"/>
      <c r="Y153" s="65"/>
      <c r="Z153" s="66"/>
      <c r="AA153" s="66"/>
      <c r="AB153" s="66"/>
    </row>
    <row r="154" hidden="1" outlineLevel="1">
      <c r="A154" s="71">
        <v>46520.0</v>
      </c>
      <c r="B154" s="100">
        <f t="shared" si="41"/>
        <v>0</v>
      </c>
      <c r="C154" s="75">
        <v>0.1</v>
      </c>
      <c r="D154" s="76">
        <v>0.05</v>
      </c>
      <c r="E154" s="77">
        <v>3.0</v>
      </c>
      <c r="F154" s="78" t="str">
        <f t="shared" si="42"/>
        <v>#DIV/0!</v>
      </c>
      <c r="G154" s="79">
        <f t="shared" si="43"/>
        <v>5</v>
      </c>
      <c r="H154" s="80">
        <f t="shared" si="44"/>
        <v>2.5</v>
      </c>
      <c r="I154" s="81">
        <f t="shared" si="45"/>
        <v>0</v>
      </c>
      <c r="J154" s="82"/>
      <c r="K154" s="83"/>
      <c r="L154" s="84">
        <f t="shared" si="46"/>
        <v>50</v>
      </c>
      <c r="M154" s="65"/>
      <c r="N154" s="65"/>
      <c r="O154" s="65"/>
      <c r="P154" s="65"/>
      <c r="Q154" s="65"/>
      <c r="R154" s="65"/>
      <c r="S154" s="65"/>
      <c r="T154" s="65"/>
      <c r="U154" s="65"/>
      <c r="V154" s="65"/>
      <c r="W154" s="65"/>
      <c r="X154" s="65"/>
      <c r="Y154" s="65"/>
      <c r="Z154" s="66"/>
      <c r="AA154" s="66"/>
      <c r="AB154" s="66"/>
    </row>
    <row r="155" hidden="1" outlineLevel="1">
      <c r="A155" s="71">
        <v>46521.0</v>
      </c>
      <c r="B155" s="100">
        <f t="shared" si="41"/>
        <v>0</v>
      </c>
      <c r="C155" s="75">
        <v>0.1</v>
      </c>
      <c r="D155" s="76">
        <v>0.05</v>
      </c>
      <c r="E155" s="77">
        <v>3.0</v>
      </c>
      <c r="F155" s="78" t="str">
        <f t="shared" si="42"/>
        <v>#DIV/0!</v>
      </c>
      <c r="G155" s="79">
        <f t="shared" si="43"/>
        <v>5</v>
      </c>
      <c r="H155" s="80">
        <f t="shared" si="44"/>
        <v>2.5</v>
      </c>
      <c r="I155" s="81">
        <f t="shared" si="45"/>
        <v>0</v>
      </c>
      <c r="J155" s="82"/>
      <c r="K155" s="83"/>
      <c r="L155" s="84">
        <f t="shared" si="46"/>
        <v>50</v>
      </c>
      <c r="M155" s="65"/>
      <c r="N155" s="65"/>
      <c r="O155" s="65"/>
      <c r="P155" s="65"/>
      <c r="Q155" s="65"/>
      <c r="R155" s="65"/>
      <c r="S155" s="65"/>
      <c r="T155" s="65"/>
      <c r="U155" s="65"/>
      <c r="V155" s="65"/>
      <c r="W155" s="65"/>
      <c r="X155" s="65"/>
      <c r="Y155" s="65"/>
      <c r="Z155" s="66"/>
      <c r="AA155" s="66"/>
      <c r="AB155" s="66"/>
    </row>
    <row r="156" hidden="1" outlineLevel="1">
      <c r="A156" s="71">
        <v>46522.0</v>
      </c>
      <c r="B156" s="100">
        <f t="shared" si="41"/>
        <v>0</v>
      </c>
      <c r="C156" s="75">
        <v>0.1</v>
      </c>
      <c r="D156" s="76">
        <v>0.05</v>
      </c>
      <c r="E156" s="77">
        <v>3.0</v>
      </c>
      <c r="F156" s="78" t="str">
        <f t="shared" si="42"/>
        <v>#DIV/0!</v>
      </c>
      <c r="G156" s="79">
        <f t="shared" si="43"/>
        <v>5</v>
      </c>
      <c r="H156" s="80">
        <f t="shared" si="44"/>
        <v>2.5</v>
      </c>
      <c r="I156" s="81">
        <f t="shared" si="45"/>
        <v>0</v>
      </c>
      <c r="J156" s="82"/>
      <c r="K156" s="83"/>
      <c r="L156" s="84">
        <f t="shared" si="46"/>
        <v>50</v>
      </c>
      <c r="M156" s="65"/>
      <c r="N156" s="65"/>
      <c r="O156" s="65"/>
      <c r="P156" s="65"/>
      <c r="Q156" s="65"/>
      <c r="R156" s="65"/>
      <c r="S156" s="65"/>
      <c r="T156" s="65"/>
      <c r="U156" s="65"/>
      <c r="V156" s="65"/>
      <c r="W156" s="65"/>
      <c r="X156" s="65"/>
      <c r="Y156" s="65"/>
      <c r="Z156" s="66"/>
      <c r="AA156" s="66"/>
      <c r="AB156" s="66"/>
    </row>
    <row r="157" hidden="1" outlineLevel="1">
      <c r="A157" s="71">
        <v>46523.0</v>
      </c>
      <c r="B157" s="100">
        <f t="shared" si="41"/>
        <v>0</v>
      </c>
      <c r="C157" s="75">
        <v>0.1</v>
      </c>
      <c r="D157" s="76">
        <v>0.05</v>
      </c>
      <c r="E157" s="77">
        <v>3.0</v>
      </c>
      <c r="F157" s="78" t="str">
        <f t="shared" si="42"/>
        <v>#DIV/0!</v>
      </c>
      <c r="G157" s="79">
        <f t="shared" si="43"/>
        <v>5</v>
      </c>
      <c r="H157" s="80">
        <f t="shared" si="44"/>
        <v>2.5</v>
      </c>
      <c r="I157" s="81">
        <f t="shared" si="45"/>
        <v>0</v>
      </c>
      <c r="J157" s="82"/>
      <c r="K157" s="83"/>
      <c r="L157" s="84">
        <f t="shared" si="46"/>
        <v>50</v>
      </c>
      <c r="M157" s="65"/>
      <c r="N157" s="65"/>
      <c r="O157" s="65"/>
      <c r="P157" s="65"/>
      <c r="Q157" s="65"/>
      <c r="R157" s="65"/>
      <c r="S157" s="65"/>
      <c r="T157" s="65"/>
      <c r="U157" s="65"/>
      <c r="V157" s="65"/>
      <c r="W157" s="65"/>
      <c r="X157" s="65"/>
      <c r="Y157" s="65"/>
      <c r="Z157" s="66"/>
      <c r="AA157" s="66"/>
      <c r="AB157" s="66"/>
    </row>
    <row r="158" hidden="1" outlineLevel="1">
      <c r="A158" s="71">
        <v>46524.0</v>
      </c>
      <c r="B158" s="100">
        <f t="shared" si="41"/>
        <v>0</v>
      </c>
      <c r="C158" s="75">
        <v>0.1</v>
      </c>
      <c r="D158" s="76">
        <v>0.05</v>
      </c>
      <c r="E158" s="77">
        <v>3.0</v>
      </c>
      <c r="F158" s="78" t="str">
        <f t="shared" si="42"/>
        <v>#DIV/0!</v>
      </c>
      <c r="G158" s="79">
        <f t="shared" si="43"/>
        <v>5</v>
      </c>
      <c r="H158" s="80">
        <f t="shared" si="44"/>
        <v>2.5</v>
      </c>
      <c r="I158" s="81">
        <f t="shared" si="45"/>
        <v>0</v>
      </c>
      <c r="J158" s="82"/>
      <c r="K158" s="83"/>
      <c r="L158" s="84">
        <f t="shared" si="46"/>
        <v>50</v>
      </c>
      <c r="M158" s="65"/>
      <c r="N158" s="65"/>
      <c r="O158" s="65"/>
      <c r="P158" s="65"/>
      <c r="Q158" s="65"/>
      <c r="R158" s="65"/>
      <c r="S158" s="65"/>
      <c r="T158" s="65"/>
      <c r="U158" s="65"/>
      <c r="V158" s="65"/>
      <c r="W158" s="65"/>
      <c r="X158" s="65"/>
      <c r="Y158" s="65"/>
      <c r="Z158" s="66"/>
      <c r="AA158" s="66"/>
      <c r="AB158" s="66"/>
    </row>
    <row r="159" hidden="1" outlineLevel="1">
      <c r="A159" s="71">
        <v>46525.0</v>
      </c>
      <c r="B159" s="100">
        <f t="shared" si="41"/>
        <v>0</v>
      </c>
      <c r="C159" s="75">
        <v>0.1</v>
      </c>
      <c r="D159" s="76">
        <v>0.05</v>
      </c>
      <c r="E159" s="77">
        <v>3.0</v>
      </c>
      <c r="F159" s="78" t="str">
        <f t="shared" si="42"/>
        <v>#DIV/0!</v>
      </c>
      <c r="G159" s="79">
        <f t="shared" si="43"/>
        <v>5</v>
      </c>
      <c r="H159" s="80">
        <f t="shared" si="44"/>
        <v>2.5</v>
      </c>
      <c r="I159" s="81">
        <f t="shared" si="45"/>
        <v>0</v>
      </c>
      <c r="J159" s="82"/>
      <c r="K159" s="83"/>
      <c r="L159" s="84">
        <f t="shared" si="46"/>
        <v>50</v>
      </c>
      <c r="M159" s="65"/>
      <c r="N159" s="65"/>
      <c r="O159" s="65"/>
      <c r="P159" s="65"/>
      <c r="Q159" s="65"/>
      <c r="R159" s="65"/>
      <c r="S159" s="65"/>
      <c r="T159" s="65"/>
      <c r="U159" s="65"/>
      <c r="V159" s="65"/>
      <c r="W159" s="65"/>
      <c r="X159" s="65"/>
      <c r="Y159" s="65"/>
      <c r="Z159" s="66"/>
      <c r="AA159" s="66"/>
      <c r="AB159" s="66"/>
    </row>
    <row r="160" hidden="1" outlineLevel="1">
      <c r="A160" s="71">
        <v>46526.0</v>
      </c>
      <c r="B160" s="100">
        <f t="shared" si="41"/>
        <v>0</v>
      </c>
      <c r="C160" s="75">
        <v>0.1</v>
      </c>
      <c r="D160" s="76">
        <v>0.05</v>
      </c>
      <c r="E160" s="77">
        <v>3.0</v>
      </c>
      <c r="F160" s="78" t="str">
        <f t="shared" si="42"/>
        <v>#DIV/0!</v>
      </c>
      <c r="G160" s="79">
        <f t="shared" si="43"/>
        <v>5</v>
      </c>
      <c r="H160" s="80">
        <f t="shared" si="44"/>
        <v>2.5</v>
      </c>
      <c r="I160" s="81">
        <f t="shared" si="45"/>
        <v>0</v>
      </c>
      <c r="J160" s="82"/>
      <c r="K160" s="83"/>
      <c r="L160" s="84">
        <f t="shared" si="46"/>
        <v>50</v>
      </c>
      <c r="M160" s="65"/>
      <c r="N160" s="65"/>
      <c r="O160" s="65"/>
      <c r="P160" s="65"/>
      <c r="Q160" s="65"/>
      <c r="R160" s="65"/>
      <c r="S160" s="65"/>
      <c r="T160" s="65"/>
      <c r="U160" s="65"/>
      <c r="V160" s="65"/>
      <c r="W160" s="65"/>
      <c r="X160" s="65"/>
      <c r="Y160" s="65"/>
      <c r="Z160" s="66"/>
      <c r="AA160" s="66"/>
      <c r="AB160" s="66"/>
    </row>
    <row r="161" hidden="1" outlineLevel="1">
      <c r="A161" s="71">
        <v>46527.0</v>
      </c>
      <c r="B161" s="100">
        <f t="shared" si="41"/>
        <v>0</v>
      </c>
      <c r="C161" s="75">
        <v>0.1</v>
      </c>
      <c r="D161" s="76">
        <v>0.05</v>
      </c>
      <c r="E161" s="77">
        <v>3.0</v>
      </c>
      <c r="F161" s="78" t="str">
        <f t="shared" si="42"/>
        <v>#DIV/0!</v>
      </c>
      <c r="G161" s="79">
        <f t="shared" si="43"/>
        <v>5</v>
      </c>
      <c r="H161" s="80">
        <f t="shared" si="44"/>
        <v>2.5</v>
      </c>
      <c r="I161" s="81">
        <f t="shared" si="45"/>
        <v>0</v>
      </c>
      <c r="J161" s="82"/>
      <c r="K161" s="83"/>
      <c r="L161" s="84">
        <f t="shared" si="46"/>
        <v>50</v>
      </c>
      <c r="M161" s="65"/>
      <c r="N161" s="65"/>
      <c r="O161" s="65"/>
      <c r="P161" s="65"/>
      <c r="Q161" s="65"/>
      <c r="R161" s="65"/>
      <c r="S161" s="65"/>
      <c r="T161" s="65"/>
      <c r="U161" s="65"/>
      <c r="V161" s="65"/>
      <c r="W161" s="65"/>
      <c r="X161" s="65"/>
      <c r="Y161" s="65"/>
      <c r="Z161" s="66"/>
      <c r="AA161" s="66"/>
      <c r="AB161" s="66"/>
    </row>
    <row r="162" hidden="1" outlineLevel="1">
      <c r="A162" s="71">
        <v>46528.0</v>
      </c>
      <c r="B162" s="100">
        <f t="shared" si="41"/>
        <v>0</v>
      </c>
      <c r="C162" s="75">
        <v>0.1</v>
      </c>
      <c r="D162" s="76">
        <v>0.05</v>
      </c>
      <c r="E162" s="77">
        <v>3.0</v>
      </c>
      <c r="F162" s="78" t="str">
        <f t="shared" si="42"/>
        <v>#DIV/0!</v>
      </c>
      <c r="G162" s="79">
        <f t="shared" si="43"/>
        <v>5</v>
      </c>
      <c r="H162" s="80">
        <f t="shared" si="44"/>
        <v>2.5</v>
      </c>
      <c r="I162" s="81">
        <f t="shared" si="45"/>
        <v>0</v>
      </c>
      <c r="J162" s="82"/>
      <c r="K162" s="83"/>
      <c r="L162" s="84">
        <f t="shared" si="46"/>
        <v>50</v>
      </c>
      <c r="M162" s="65"/>
      <c r="N162" s="65"/>
      <c r="O162" s="65"/>
      <c r="P162" s="65"/>
      <c r="Q162" s="65"/>
      <c r="R162" s="65"/>
      <c r="S162" s="65"/>
      <c r="T162" s="65"/>
      <c r="U162" s="65"/>
      <c r="V162" s="65"/>
      <c r="W162" s="65"/>
      <c r="X162" s="65"/>
      <c r="Y162" s="65"/>
      <c r="Z162" s="66"/>
      <c r="AA162" s="66"/>
      <c r="AB162" s="66"/>
    </row>
    <row r="163" hidden="1" outlineLevel="1">
      <c r="A163" s="71">
        <v>46529.0</v>
      </c>
      <c r="B163" s="100">
        <f t="shared" si="41"/>
        <v>0</v>
      </c>
      <c r="C163" s="75">
        <v>0.1</v>
      </c>
      <c r="D163" s="76">
        <v>0.05</v>
      </c>
      <c r="E163" s="77">
        <v>3.0</v>
      </c>
      <c r="F163" s="78" t="str">
        <f t="shared" si="42"/>
        <v>#DIV/0!</v>
      </c>
      <c r="G163" s="79">
        <f t="shared" si="43"/>
        <v>5</v>
      </c>
      <c r="H163" s="80">
        <f t="shared" si="44"/>
        <v>2.5</v>
      </c>
      <c r="I163" s="81">
        <f t="shared" si="45"/>
        <v>0</v>
      </c>
      <c r="J163" s="82"/>
      <c r="K163" s="83"/>
      <c r="L163" s="84">
        <f t="shared" si="46"/>
        <v>50</v>
      </c>
      <c r="M163" s="65"/>
      <c r="N163" s="65"/>
      <c r="O163" s="65"/>
      <c r="P163" s="65"/>
      <c r="Q163" s="65"/>
      <c r="R163" s="65"/>
      <c r="S163" s="65"/>
      <c r="T163" s="65"/>
      <c r="U163" s="65"/>
      <c r="V163" s="65"/>
      <c r="W163" s="65"/>
      <c r="X163" s="65"/>
      <c r="Y163" s="65"/>
      <c r="Z163" s="66"/>
      <c r="AA163" s="66"/>
      <c r="AB163" s="66"/>
    </row>
    <row r="164" hidden="1" outlineLevel="1">
      <c r="A164" s="71">
        <v>46530.0</v>
      </c>
      <c r="B164" s="100">
        <f t="shared" si="41"/>
        <v>0</v>
      </c>
      <c r="C164" s="75">
        <v>0.1</v>
      </c>
      <c r="D164" s="76">
        <v>0.05</v>
      </c>
      <c r="E164" s="77">
        <v>3.0</v>
      </c>
      <c r="F164" s="78" t="str">
        <f t="shared" si="42"/>
        <v>#DIV/0!</v>
      </c>
      <c r="G164" s="79">
        <f t="shared" si="43"/>
        <v>5</v>
      </c>
      <c r="H164" s="80">
        <f t="shared" si="44"/>
        <v>2.5</v>
      </c>
      <c r="I164" s="81">
        <f t="shared" si="45"/>
        <v>0</v>
      </c>
      <c r="J164" s="82"/>
      <c r="K164" s="83"/>
      <c r="L164" s="84">
        <f t="shared" si="46"/>
        <v>50</v>
      </c>
      <c r="M164" s="65"/>
      <c r="N164" s="65"/>
      <c r="O164" s="65"/>
      <c r="P164" s="65"/>
      <c r="Q164" s="65"/>
      <c r="R164" s="65"/>
      <c r="S164" s="65"/>
      <c r="T164" s="65"/>
      <c r="U164" s="65"/>
      <c r="V164" s="65"/>
      <c r="W164" s="65"/>
      <c r="X164" s="65"/>
      <c r="Y164" s="65"/>
      <c r="Z164" s="66"/>
      <c r="AA164" s="66"/>
      <c r="AB164" s="66"/>
    </row>
    <row r="165" hidden="1" outlineLevel="1">
      <c r="A165" s="71">
        <v>46531.0</v>
      </c>
      <c r="B165" s="100">
        <f t="shared" si="41"/>
        <v>0</v>
      </c>
      <c r="C165" s="75">
        <v>0.1</v>
      </c>
      <c r="D165" s="76">
        <v>0.05</v>
      </c>
      <c r="E165" s="77">
        <v>3.0</v>
      </c>
      <c r="F165" s="78" t="str">
        <f t="shared" si="42"/>
        <v>#DIV/0!</v>
      </c>
      <c r="G165" s="79">
        <f t="shared" si="43"/>
        <v>5</v>
      </c>
      <c r="H165" s="80">
        <f t="shared" si="44"/>
        <v>2.5</v>
      </c>
      <c r="I165" s="81">
        <f t="shared" si="45"/>
        <v>0</v>
      </c>
      <c r="J165" s="82"/>
      <c r="K165" s="83"/>
      <c r="L165" s="84">
        <f t="shared" si="46"/>
        <v>50</v>
      </c>
      <c r="M165" s="65"/>
      <c r="N165" s="65"/>
      <c r="O165" s="65"/>
      <c r="P165" s="65"/>
      <c r="Q165" s="65"/>
      <c r="R165" s="65"/>
      <c r="S165" s="65"/>
      <c r="T165" s="65"/>
      <c r="U165" s="65"/>
      <c r="V165" s="65"/>
      <c r="W165" s="65"/>
      <c r="X165" s="65"/>
      <c r="Y165" s="65"/>
      <c r="Z165" s="66"/>
      <c r="AA165" s="66"/>
      <c r="AB165" s="66"/>
    </row>
    <row r="166" hidden="1" outlineLevel="1">
      <c r="A166" s="71">
        <v>46532.0</v>
      </c>
      <c r="B166" s="100">
        <f t="shared" si="41"/>
        <v>0</v>
      </c>
      <c r="C166" s="75">
        <v>0.1</v>
      </c>
      <c r="D166" s="76">
        <v>0.05</v>
      </c>
      <c r="E166" s="77">
        <v>3.0</v>
      </c>
      <c r="F166" s="78" t="str">
        <f t="shared" si="42"/>
        <v>#DIV/0!</v>
      </c>
      <c r="G166" s="79">
        <f t="shared" si="43"/>
        <v>5</v>
      </c>
      <c r="H166" s="80">
        <f t="shared" si="44"/>
        <v>2.5</v>
      </c>
      <c r="I166" s="81">
        <f t="shared" si="45"/>
        <v>0</v>
      </c>
      <c r="J166" s="82"/>
      <c r="K166" s="83"/>
      <c r="L166" s="84">
        <f t="shared" si="46"/>
        <v>50</v>
      </c>
      <c r="M166" s="65"/>
      <c r="N166" s="65"/>
      <c r="O166" s="65"/>
      <c r="P166" s="65"/>
      <c r="Q166" s="65"/>
      <c r="R166" s="65"/>
      <c r="S166" s="65"/>
      <c r="T166" s="65"/>
      <c r="U166" s="65"/>
      <c r="V166" s="65"/>
      <c r="W166" s="65"/>
      <c r="X166" s="65"/>
      <c r="Y166" s="65"/>
      <c r="Z166" s="66"/>
      <c r="AA166" s="66"/>
      <c r="AB166" s="66"/>
    </row>
    <row r="167" hidden="1" outlineLevel="1">
      <c r="A167" s="71">
        <v>46533.0</v>
      </c>
      <c r="B167" s="100">
        <f t="shared" si="41"/>
        <v>0</v>
      </c>
      <c r="C167" s="75">
        <v>0.1</v>
      </c>
      <c r="D167" s="76">
        <v>0.05</v>
      </c>
      <c r="E167" s="77">
        <v>3.0</v>
      </c>
      <c r="F167" s="78" t="str">
        <f t="shared" si="42"/>
        <v>#DIV/0!</v>
      </c>
      <c r="G167" s="79">
        <f t="shared" si="43"/>
        <v>5</v>
      </c>
      <c r="H167" s="80">
        <f t="shared" si="44"/>
        <v>2.5</v>
      </c>
      <c r="I167" s="81">
        <f t="shared" si="45"/>
        <v>0</v>
      </c>
      <c r="J167" s="82"/>
      <c r="K167" s="83"/>
      <c r="L167" s="84">
        <f t="shared" si="46"/>
        <v>50</v>
      </c>
      <c r="M167" s="65"/>
      <c r="N167" s="65"/>
      <c r="O167" s="65"/>
      <c r="P167" s="65"/>
      <c r="Q167" s="65"/>
      <c r="R167" s="65"/>
      <c r="S167" s="65"/>
      <c r="T167" s="65"/>
      <c r="U167" s="65"/>
      <c r="V167" s="65"/>
      <c r="W167" s="65"/>
      <c r="X167" s="65"/>
      <c r="Y167" s="65"/>
      <c r="Z167" s="66"/>
      <c r="AA167" s="66"/>
      <c r="AB167" s="66"/>
    </row>
    <row r="168" hidden="1" outlineLevel="1">
      <c r="A168" s="71">
        <v>46534.0</v>
      </c>
      <c r="B168" s="100">
        <f t="shared" si="41"/>
        <v>0</v>
      </c>
      <c r="C168" s="75">
        <v>0.1</v>
      </c>
      <c r="D168" s="76">
        <v>0.05</v>
      </c>
      <c r="E168" s="77">
        <v>3.0</v>
      </c>
      <c r="F168" s="78" t="str">
        <f t="shared" si="42"/>
        <v>#DIV/0!</v>
      </c>
      <c r="G168" s="79">
        <f t="shared" si="43"/>
        <v>5</v>
      </c>
      <c r="H168" s="80">
        <f t="shared" si="44"/>
        <v>2.5</v>
      </c>
      <c r="I168" s="81">
        <f t="shared" si="45"/>
        <v>0</v>
      </c>
      <c r="J168" s="82"/>
      <c r="K168" s="83"/>
      <c r="L168" s="84">
        <f t="shared" si="46"/>
        <v>50</v>
      </c>
      <c r="M168" s="65"/>
      <c r="N168" s="65"/>
      <c r="O168" s="65"/>
      <c r="P168" s="65"/>
      <c r="Q168" s="65"/>
      <c r="R168" s="65"/>
      <c r="S168" s="65"/>
      <c r="T168" s="65"/>
      <c r="U168" s="65"/>
      <c r="V168" s="65"/>
      <c r="W168" s="65"/>
      <c r="X168" s="65"/>
      <c r="Y168" s="65"/>
      <c r="Z168" s="66"/>
      <c r="AA168" s="66"/>
      <c r="AB168" s="66"/>
    </row>
    <row r="169" hidden="1" outlineLevel="1">
      <c r="A169" s="71">
        <v>46535.0</v>
      </c>
      <c r="B169" s="100">
        <f t="shared" si="41"/>
        <v>0</v>
      </c>
      <c r="C169" s="75">
        <v>0.1</v>
      </c>
      <c r="D169" s="76">
        <v>0.05</v>
      </c>
      <c r="E169" s="77">
        <v>3.0</v>
      </c>
      <c r="F169" s="78" t="str">
        <f t="shared" si="42"/>
        <v>#DIV/0!</v>
      </c>
      <c r="G169" s="79">
        <f t="shared" si="43"/>
        <v>5</v>
      </c>
      <c r="H169" s="80">
        <f t="shared" si="44"/>
        <v>2.5</v>
      </c>
      <c r="I169" s="81">
        <f t="shared" si="45"/>
        <v>0</v>
      </c>
      <c r="J169" s="82"/>
      <c r="K169" s="83"/>
      <c r="L169" s="84">
        <f t="shared" si="46"/>
        <v>50</v>
      </c>
      <c r="M169" s="65"/>
      <c r="N169" s="65"/>
      <c r="O169" s="65"/>
      <c r="P169" s="65"/>
      <c r="Q169" s="65"/>
      <c r="R169" s="65"/>
      <c r="S169" s="65"/>
      <c r="T169" s="65"/>
      <c r="U169" s="65"/>
      <c r="V169" s="65"/>
      <c r="W169" s="65"/>
      <c r="X169" s="65"/>
      <c r="Y169" s="65"/>
      <c r="Z169" s="66"/>
      <c r="AA169" s="66"/>
      <c r="AB169" s="66"/>
    </row>
    <row r="170" hidden="1" outlineLevel="1">
      <c r="A170" s="71">
        <v>46536.0</v>
      </c>
      <c r="B170" s="100">
        <f t="shared" si="41"/>
        <v>0</v>
      </c>
      <c r="C170" s="75">
        <v>0.1</v>
      </c>
      <c r="D170" s="76">
        <v>0.05</v>
      </c>
      <c r="E170" s="77">
        <v>3.0</v>
      </c>
      <c r="F170" s="78" t="str">
        <f t="shared" si="42"/>
        <v>#DIV/0!</v>
      </c>
      <c r="G170" s="79">
        <f t="shared" si="43"/>
        <v>5</v>
      </c>
      <c r="H170" s="80">
        <f t="shared" si="44"/>
        <v>2.5</v>
      </c>
      <c r="I170" s="81">
        <f t="shared" si="45"/>
        <v>0</v>
      </c>
      <c r="J170" s="82"/>
      <c r="K170" s="83"/>
      <c r="L170" s="84">
        <f t="shared" si="46"/>
        <v>50</v>
      </c>
      <c r="M170" s="65"/>
      <c r="N170" s="65"/>
      <c r="O170" s="65"/>
      <c r="P170" s="65"/>
      <c r="Q170" s="65"/>
      <c r="R170" s="65"/>
      <c r="S170" s="65"/>
      <c r="T170" s="65"/>
      <c r="U170" s="65"/>
      <c r="V170" s="65"/>
      <c r="W170" s="65"/>
      <c r="X170" s="65"/>
      <c r="Y170" s="65"/>
      <c r="Z170" s="66"/>
      <c r="AA170" s="66"/>
      <c r="AB170" s="66"/>
    </row>
    <row r="171" hidden="1" outlineLevel="1">
      <c r="A171" s="71">
        <v>46537.0</v>
      </c>
      <c r="B171" s="100">
        <f t="shared" si="41"/>
        <v>0</v>
      </c>
      <c r="C171" s="75">
        <v>0.1</v>
      </c>
      <c r="D171" s="76">
        <v>0.05</v>
      </c>
      <c r="E171" s="77">
        <v>3.0</v>
      </c>
      <c r="F171" s="78" t="str">
        <f t="shared" si="42"/>
        <v>#DIV/0!</v>
      </c>
      <c r="G171" s="79">
        <f t="shared" si="43"/>
        <v>5</v>
      </c>
      <c r="H171" s="80">
        <f t="shared" si="44"/>
        <v>2.5</v>
      </c>
      <c r="I171" s="81">
        <f t="shared" si="45"/>
        <v>0</v>
      </c>
      <c r="J171" s="82"/>
      <c r="K171" s="83"/>
      <c r="L171" s="84">
        <f t="shared" si="46"/>
        <v>50</v>
      </c>
      <c r="M171" s="65"/>
      <c r="N171" s="65"/>
      <c r="O171" s="65"/>
      <c r="P171" s="65"/>
      <c r="Q171" s="65"/>
      <c r="R171" s="65"/>
      <c r="S171" s="65"/>
      <c r="T171" s="65"/>
      <c r="U171" s="65"/>
      <c r="V171" s="65"/>
      <c r="W171" s="65"/>
      <c r="X171" s="65"/>
      <c r="Y171" s="65"/>
      <c r="Z171" s="66"/>
      <c r="AA171" s="66"/>
      <c r="AB171" s="66"/>
    </row>
    <row r="172" hidden="1" outlineLevel="1">
      <c r="A172" s="71">
        <v>46538.0</v>
      </c>
      <c r="B172" s="100">
        <f t="shared" si="41"/>
        <v>0</v>
      </c>
      <c r="C172" s="75">
        <v>0.1</v>
      </c>
      <c r="D172" s="76">
        <v>0.05</v>
      </c>
      <c r="E172" s="77">
        <v>3.0</v>
      </c>
      <c r="F172" s="78" t="str">
        <f t="shared" si="42"/>
        <v>#DIV/0!</v>
      </c>
      <c r="G172" s="79">
        <f t="shared" si="43"/>
        <v>5</v>
      </c>
      <c r="H172" s="80">
        <f t="shared" si="44"/>
        <v>2.5</v>
      </c>
      <c r="I172" s="81">
        <f t="shared" si="45"/>
        <v>0</v>
      </c>
      <c r="J172" s="82"/>
      <c r="K172" s="83"/>
      <c r="L172" s="84">
        <f t="shared" si="46"/>
        <v>50</v>
      </c>
      <c r="M172" s="65"/>
      <c r="N172" s="65"/>
      <c r="O172" s="65"/>
      <c r="P172" s="65"/>
      <c r="Q172" s="65"/>
      <c r="R172" s="65"/>
      <c r="S172" s="65"/>
      <c r="T172" s="65"/>
      <c r="U172" s="65"/>
      <c r="V172" s="65"/>
      <c r="W172" s="65"/>
      <c r="X172" s="65"/>
      <c r="Y172" s="65"/>
      <c r="Z172" s="66"/>
      <c r="AA172" s="66"/>
      <c r="AB172" s="66"/>
    </row>
    <row r="173" hidden="1" outlineLevel="1">
      <c r="A173" s="85" t="s">
        <v>41</v>
      </c>
      <c r="C173" s="86">
        <f>SUM(C142:C172)</f>
        <v>3.1</v>
      </c>
      <c r="D173" s="87"/>
      <c r="E173" s="87"/>
      <c r="F173" s="87"/>
      <c r="G173" s="87"/>
      <c r="H173" s="87"/>
      <c r="I173" s="87" t="str">
        <f t="shared" ref="I173:K173" si="47">SUM(I142:I172)</f>
        <v>#DIV/0!</v>
      </c>
      <c r="J173" s="89">
        <f t="shared" si="47"/>
        <v>0</v>
      </c>
      <c r="K173" s="87">
        <f t="shared" si="47"/>
        <v>0</v>
      </c>
      <c r="L173" s="89">
        <f>L172</f>
        <v>50</v>
      </c>
      <c r="M173" s="65"/>
      <c r="N173" s="65"/>
      <c r="O173" s="65"/>
      <c r="P173" s="65"/>
      <c r="Q173" s="65"/>
      <c r="R173" s="65"/>
      <c r="S173" s="65"/>
      <c r="T173" s="65"/>
      <c r="U173" s="65"/>
      <c r="V173" s="65"/>
      <c r="W173" s="65"/>
      <c r="X173" s="65"/>
      <c r="Y173" s="65"/>
      <c r="Z173" s="66"/>
      <c r="AA173" s="66"/>
      <c r="AB173" s="66"/>
    </row>
    <row r="174">
      <c r="A174" s="95"/>
      <c r="B174" s="92"/>
      <c r="C174" s="92"/>
      <c r="D174" s="92"/>
      <c r="E174" s="92"/>
      <c r="F174" s="92"/>
      <c r="G174" s="92"/>
      <c r="H174" s="92"/>
      <c r="I174" s="92"/>
      <c r="J174" s="92"/>
      <c r="K174" s="94">
        <f>SUM(K142:K172)</f>
        <v>0</v>
      </c>
      <c r="L174" s="92"/>
      <c r="M174" s="65"/>
      <c r="N174" s="65"/>
      <c r="O174" s="65"/>
      <c r="P174" s="65"/>
      <c r="Q174" s="65"/>
      <c r="R174" s="65"/>
      <c r="S174" s="65"/>
      <c r="T174" s="65"/>
      <c r="U174" s="65"/>
      <c r="V174" s="65"/>
      <c r="W174" s="65"/>
      <c r="X174" s="65"/>
      <c r="Y174" s="65"/>
      <c r="Z174" s="66"/>
      <c r="AA174" s="66"/>
      <c r="AB174" s="66"/>
    </row>
    <row r="175" collapsed="1">
      <c r="A175" s="57" t="s">
        <v>47</v>
      </c>
      <c r="M175" s="65"/>
      <c r="N175" s="65"/>
      <c r="O175" s="65"/>
      <c r="P175" s="65"/>
      <c r="Q175" s="65"/>
      <c r="R175" s="65"/>
      <c r="S175" s="65"/>
      <c r="T175" s="65"/>
      <c r="U175" s="65"/>
      <c r="V175" s="65"/>
      <c r="W175" s="65"/>
      <c r="X175" s="65"/>
      <c r="Y175" s="65"/>
      <c r="Z175" s="66"/>
      <c r="AA175" s="66"/>
      <c r="AB175" s="66"/>
    </row>
    <row r="176" hidden="1" outlineLevel="1">
      <c r="A176" s="71" t="s">
        <v>29</v>
      </c>
      <c r="B176" s="57" t="s">
        <v>30</v>
      </c>
      <c r="C176" s="57" t="s">
        <v>31</v>
      </c>
      <c r="D176" s="72" t="s">
        <v>32</v>
      </c>
      <c r="E176" s="72" t="s">
        <v>33</v>
      </c>
      <c r="F176" s="72" t="s">
        <v>34</v>
      </c>
      <c r="G176" s="73" t="s">
        <v>35</v>
      </c>
      <c r="H176" s="72" t="s">
        <v>36</v>
      </c>
      <c r="I176" s="57" t="s">
        <v>37</v>
      </c>
      <c r="J176" s="74" t="s">
        <v>38</v>
      </c>
      <c r="K176" s="57" t="s">
        <v>39</v>
      </c>
      <c r="L176" s="57" t="s">
        <v>40</v>
      </c>
      <c r="M176" s="65"/>
      <c r="N176" s="65"/>
      <c r="O176" s="65"/>
      <c r="P176" s="65"/>
      <c r="Q176" s="65"/>
      <c r="R176" s="65"/>
      <c r="S176" s="65"/>
      <c r="T176" s="65"/>
      <c r="U176" s="65"/>
      <c r="V176" s="65"/>
      <c r="W176" s="65"/>
      <c r="X176" s="65"/>
      <c r="Y176" s="65"/>
      <c r="Z176" s="66"/>
      <c r="AA176" s="66"/>
      <c r="AB176" s="66"/>
    </row>
    <row r="177" hidden="1" outlineLevel="1">
      <c r="A177" s="71">
        <v>46539.0</v>
      </c>
      <c r="B177" s="100">
        <f t="shared" ref="B177:B206" si="48">ROUND(AVERAGE((H177/1000)/E177), 2)</f>
        <v>0</v>
      </c>
      <c r="C177" s="75">
        <v>0.1</v>
      </c>
      <c r="D177" s="76">
        <v>0.05</v>
      </c>
      <c r="E177" s="77">
        <v>3.0</v>
      </c>
      <c r="F177" s="78" t="str">
        <f t="shared" ref="F177:F206" si="49">H177/B177</f>
        <v>#DIV/0!</v>
      </c>
      <c r="G177" s="79">
        <f>L173*C177</f>
        <v>5</v>
      </c>
      <c r="H177" s="80">
        <f>L173*D177</f>
        <v>2.5</v>
      </c>
      <c r="I177" s="81" t="str">
        <f>(J177/B172)*100</f>
        <v>#DIV/0!</v>
      </c>
      <c r="J177" s="82"/>
      <c r="K177" s="83"/>
      <c r="L177" s="84">
        <f>(L173+J177)-K177</f>
        <v>50</v>
      </c>
      <c r="M177" s="65"/>
      <c r="N177" s="65"/>
      <c r="O177" s="65"/>
      <c r="P177" s="65"/>
      <c r="Q177" s="65"/>
      <c r="R177" s="65"/>
      <c r="S177" s="65"/>
      <c r="T177" s="65"/>
      <c r="U177" s="65"/>
      <c r="V177" s="65"/>
      <c r="W177" s="65"/>
      <c r="X177" s="65"/>
      <c r="Y177" s="65"/>
      <c r="Z177" s="66"/>
      <c r="AA177" s="66"/>
      <c r="AB177" s="66"/>
    </row>
    <row r="178" hidden="1" outlineLevel="1">
      <c r="A178" s="71">
        <v>46540.0</v>
      </c>
      <c r="B178" s="100">
        <f t="shared" si="48"/>
        <v>0</v>
      </c>
      <c r="C178" s="75">
        <v>0.1</v>
      </c>
      <c r="D178" s="76">
        <v>0.05</v>
      </c>
      <c r="E178" s="77">
        <v>3.0</v>
      </c>
      <c r="F178" s="78" t="str">
        <f t="shared" si="49"/>
        <v>#DIV/0!</v>
      </c>
      <c r="G178" s="79">
        <f t="shared" ref="G178:G206" si="50">L177*C178</f>
        <v>5</v>
      </c>
      <c r="H178" s="80">
        <f t="shared" ref="H178:H206" si="51">L177*D178</f>
        <v>2.5</v>
      </c>
      <c r="I178" s="81">
        <f t="shared" ref="I178:I206" si="52">(J178/L177)*100</f>
        <v>0</v>
      </c>
      <c r="J178" s="82"/>
      <c r="K178" s="83"/>
      <c r="L178" s="84">
        <f t="shared" ref="L178:L206" si="53">(L177+J178)-K178</f>
        <v>50</v>
      </c>
      <c r="M178" s="65"/>
      <c r="N178" s="65"/>
      <c r="O178" s="65"/>
      <c r="P178" s="65"/>
      <c r="Q178" s="65"/>
      <c r="R178" s="65"/>
      <c r="S178" s="65"/>
      <c r="T178" s="65"/>
      <c r="U178" s="65"/>
      <c r="V178" s="65"/>
      <c r="W178" s="65"/>
      <c r="X178" s="65"/>
      <c r="Y178" s="65"/>
      <c r="Z178" s="66"/>
      <c r="AA178" s="66"/>
      <c r="AB178" s="66"/>
    </row>
    <row r="179" hidden="1" outlineLevel="1">
      <c r="A179" s="71">
        <v>46541.0</v>
      </c>
      <c r="B179" s="100">
        <f t="shared" si="48"/>
        <v>0</v>
      </c>
      <c r="C179" s="75">
        <v>0.1</v>
      </c>
      <c r="D179" s="76">
        <v>0.05</v>
      </c>
      <c r="E179" s="77">
        <v>3.0</v>
      </c>
      <c r="F179" s="78" t="str">
        <f t="shared" si="49"/>
        <v>#DIV/0!</v>
      </c>
      <c r="G179" s="79">
        <f t="shared" si="50"/>
        <v>5</v>
      </c>
      <c r="H179" s="80">
        <f t="shared" si="51"/>
        <v>2.5</v>
      </c>
      <c r="I179" s="81">
        <f t="shared" si="52"/>
        <v>0</v>
      </c>
      <c r="J179" s="82"/>
      <c r="K179" s="83"/>
      <c r="L179" s="84">
        <f t="shared" si="53"/>
        <v>50</v>
      </c>
      <c r="M179" s="65"/>
      <c r="N179" s="65"/>
      <c r="O179" s="65"/>
      <c r="P179" s="65"/>
      <c r="Q179" s="65"/>
      <c r="R179" s="65"/>
      <c r="S179" s="65"/>
      <c r="T179" s="65"/>
      <c r="U179" s="65"/>
      <c r="V179" s="65"/>
      <c r="W179" s="65"/>
      <c r="X179" s="65"/>
      <c r="Y179" s="65"/>
      <c r="Z179" s="66"/>
      <c r="AA179" s="66"/>
      <c r="AB179" s="66"/>
    </row>
    <row r="180" hidden="1" outlineLevel="1">
      <c r="A180" s="71">
        <v>46542.0</v>
      </c>
      <c r="B180" s="100">
        <f t="shared" si="48"/>
        <v>0</v>
      </c>
      <c r="C180" s="75">
        <v>0.1</v>
      </c>
      <c r="D180" s="76">
        <v>0.05</v>
      </c>
      <c r="E180" s="77">
        <v>3.0</v>
      </c>
      <c r="F180" s="78" t="str">
        <f t="shared" si="49"/>
        <v>#DIV/0!</v>
      </c>
      <c r="G180" s="79">
        <f t="shared" si="50"/>
        <v>5</v>
      </c>
      <c r="H180" s="80">
        <f t="shared" si="51"/>
        <v>2.5</v>
      </c>
      <c r="I180" s="81">
        <f t="shared" si="52"/>
        <v>0</v>
      </c>
      <c r="J180" s="82"/>
      <c r="K180" s="83"/>
      <c r="L180" s="84">
        <f t="shared" si="53"/>
        <v>50</v>
      </c>
      <c r="M180" s="65"/>
      <c r="N180" s="65"/>
      <c r="O180" s="65"/>
      <c r="P180" s="65"/>
      <c r="Q180" s="65"/>
      <c r="R180" s="65"/>
      <c r="S180" s="65"/>
      <c r="T180" s="65"/>
      <c r="U180" s="65"/>
      <c r="V180" s="65"/>
      <c r="W180" s="65"/>
      <c r="X180" s="65"/>
      <c r="Y180" s="65"/>
      <c r="Z180" s="66"/>
      <c r="AA180" s="66"/>
      <c r="AB180" s="66"/>
    </row>
    <row r="181" hidden="1" outlineLevel="1">
      <c r="A181" s="71">
        <v>46543.0</v>
      </c>
      <c r="B181" s="100">
        <f t="shared" si="48"/>
        <v>0</v>
      </c>
      <c r="C181" s="75">
        <v>0.1</v>
      </c>
      <c r="D181" s="76">
        <v>0.05</v>
      </c>
      <c r="E181" s="77">
        <v>3.0</v>
      </c>
      <c r="F181" s="78" t="str">
        <f t="shared" si="49"/>
        <v>#DIV/0!</v>
      </c>
      <c r="G181" s="79">
        <f t="shared" si="50"/>
        <v>5</v>
      </c>
      <c r="H181" s="80">
        <f t="shared" si="51"/>
        <v>2.5</v>
      </c>
      <c r="I181" s="81">
        <f t="shared" si="52"/>
        <v>0</v>
      </c>
      <c r="J181" s="82"/>
      <c r="K181" s="83"/>
      <c r="L181" s="84">
        <f t="shared" si="53"/>
        <v>50</v>
      </c>
      <c r="M181" s="65"/>
      <c r="N181" s="65"/>
      <c r="O181" s="65"/>
      <c r="P181" s="65"/>
      <c r="Q181" s="65"/>
      <c r="R181" s="65"/>
      <c r="S181" s="65"/>
      <c r="T181" s="65"/>
      <c r="U181" s="65"/>
      <c r="V181" s="65"/>
      <c r="W181" s="65"/>
      <c r="X181" s="65"/>
      <c r="Y181" s="65"/>
      <c r="Z181" s="66"/>
      <c r="AA181" s="66"/>
      <c r="AB181" s="66"/>
    </row>
    <row r="182" hidden="1" outlineLevel="1">
      <c r="A182" s="71">
        <v>46544.0</v>
      </c>
      <c r="B182" s="100">
        <f t="shared" si="48"/>
        <v>0</v>
      </c>
      <c r="C182" s="75">
        <v>0.1</v>
      </c>
      <c r="D182" s="76">
        <v>0.05</v>
      </c>
      <c r="E182" s="77">
        <v>3.0</v>
      </c>
      <c r="F182" s="78" t="str">
        <f t="shared" si="49"/>
        <v>#DIV/0!</v>
      </c>
      <c r="G182" s="79">
        <f t="shared" si="50"/>
        <v>5</v>
      </c>
      <c r="H182" s="80">
        <f t="shared" si="51"/>
        <v>2.5</v>
      </c>
      <c r="I182" s="81">
        <f t="shared" si="52"/>
        <v>0</v>
      </c>
      <c r="J182" s="82"/>
      <c r="K182" s="83"/>
      <c r="L182" s="84">
        <f t="shared" si="53"/>
        <v>50</v>
      </c>
      <c r="M182" s="65"/>
      <c r="N182" s="65"/>
      <c r="O182" s="65"/>
      <c r="P182" s="65"/>
      <c r="Q182" s="65"/>
      <c r="R182" s="65"/>
      <c r="S182" s="65"/>
      <c r="T182" s="65"/>
      <c r="U182" s="65"/>
      <c r="V182" s="65"/>
      <c r="W182" s="65"/>
      <c r="X182" s="65"/>
      <c r="Y182" s="65"/>
      <c r="Z182" s="66"/>
      <c r="AA182" s="66"/>
      <c r="AB182" s="66"/>
    </row>
    <row r="183" hidden="1" outlineLevel="1">
      <c r="A183" s="71">
        <v>46545.0</v>
      </c>
      <c r="B183" s="100">
        <f t="shared" si="48"/>
        <v>0</v>
      </c>
      <c r="C183" s="75">
        <v>0.1</v>
      </c>
      <c r="D183" s="76">
        <v>0.05</v>
      </c>
      <c r="E183" s="77">
        <v>3.0</v>
      </c>
      <c r="F183" s="78" t="str">
        <f t="shared" si="49"/>
        <v>#DIV/0!</v>
      </c>
      <c r="G183" s="79">
        <f t="shared" si="50"/>
        <v>5</v>
      </c>
      <c r="H183" s="80">
        <f t="shared" si="51"/>
        <v>2.5</v>
      </c>
      <c r="I183" s="81">
        <f t="shared" si="52"/>
        <v>0</v>
      </c>
      <c r="J183" s="82"/>
      <c r="K183" s="83"/>
      <c r="L183" s="84">
        <f t="shared" si="53"/>
        <v>50</v>
      </c>
      <c r="M183" s="65"/>
      <c r="N183" s="65"/>
      <c r="O183" s="65"/>
      <c r="P183" s="65"/>
      <c r="Q183" s="65"/>
      <c r="R183" s="65"/>
      <c r="S183" s="65"/>
      <c r="T183" s="65"/>
      <c r="U183" s="65"/>
      <c r="V183" s="65"/>
      <c r="W183" s="65"/>
      <c r="X183" s="65"/>
      <c r="Y183" s="65"/>
      <c r="Z183" s="66"/>
      <c r="AA183" s="66"/>
      <c r="AB183" s="66"/>
    </row>
    <row r="184" hidden="1" outlineLevel="1">
      <c r="A184" s="71">
        <v>46546.0</v>
      </c>
      <c r="B184" s="100">
        <f t="shared" si="48"/>
        <v>0</v>
      </c>
      <c r="C184" s="75">
        <v>0.1</v>
      </c>
      <c r="D184" s="76">
        <v>0.05</v>
      </c>
      <c r="E184" s="77">
        <v>3.0</v>
      </c>
      <c r="F184" s="78" t="str">
        <f t="shared" si="49"/>
        <v>#DIV/0!</v>
      </c>
      <c r="G184" s="79">
        <f t="shared" si="50"/>
        <v>5</v>
      </c>
      <c r="H184" s="80">
        <f t="shared" si="51"/>
        <v>2.5</v>
      </c>
      <c r="I184" s="81">
        <f t="shared" si="52"/>
        <v>0</v>
      </c>
      <c r="J184" s="82"/>
      <c r="K184" s="83"/>
      <c r="L184" s="84">
        <f t="shared" si="53"/>
        <v>50</v>
      </c>
      <c r="M184" s="65"/>
      <c r="N184" s="65"/>
      <c r="O184" s="65"/>
      <c r="P184" s="65"/>
      <c r="Q184" s="65"/>
      <c r="R184" s="65"/>
      <c r="S184" s="65"/>
      <c r="T184" s="65"/>
      <c r="U184" s="65"/>
      <c r="V184" s="65"/>
      <c r="W184" s="65"/>
      <c r="X184" s="65"/>
      <c r="Y184" s="65"/>
      <c r="Z184" s="66"/>
      <c r="AA184" s="66"/>
      <c r="AB184" s="66"/>
    </row>
    <row r="185" hidden="1" outlineLevel="1">
      <c r="A185" s="71">
        <v>46547.0</v>
      </c>
      <c r="B185" s="100">
        <f t="shared" si="48"/>
        <v>0</v>
      </c>
      <c r="C185" s="75">
        <v>0.1</v>
      </c>
      <c r="D185" s="76">
        <v>0.05</v>
      </c>
      <c r="E185" s="77">
        <v>3.0</v>
      </c>
      <c r="F185" s="78" t="str">
        <f t="shared" si="49"/>
        <v>#DIV/0!</v>
      </c>
      <c r="G185" s="79">
        <f t="shared" si="50"/>
        <v>5</v>
      </c>
      <c r="H185" s="80">
        <f t="shared" si="51"/>
        <v>2.5</v>
      </c>
      <c r="I185" s="81">
        <f t="shared" si="52"/>
        <v>0</v>
      </c>
      <c r="J185" s="82"/>
      <c r="K185" s="83"/>
      <c r="L185" s="84">
        <f t="shared" si="53"/>
        <v>50</v>
      </c>
      <c r="M185" s="65"/>
      <c r="N185" s="65"/>
      <c r="O185" s="65"/>
      <c r="P185" s="65"/>
      <c r="Q185" s="65"/>
      <c r="R185" s="65"/>
      <c r="S185" s="65"/>
      <c r="T185" s="65"/>
      <c r="U185" s="65"/>
      <c r="V185" s="65"/>
      <c r="W185" s="65"/>
      <c r="X185" s="65"/>
      <c r="Y185" s="65"/>
      <c r="Z185" s="66"/>
      <c r="AA185" s="66"/>
      <c r="AB185" s="66"/>
    </row>
    <row r="186" hidden="1" outlineLevel="1">
      <c r="A186" s="71">
        <v>46548.0</v>
      </c>
      <c r="B186" s="100">
        <f t="shared" si="48"/>
        <v>0</v>
      </c>
      <c r="C186" s="75">
        <v>0.1</v>
      </c>
      <c r="D186" s="76">
        <v>0.05</v>
      </c>
      <c r="E186" s="77">
        <v>3.0</v>
      </c>
      <c r="F186" s="78" t="str">
        <f t="shared" si="49"/>
        <v>#DIV/0!</v>
      </c>
      <c r="G186" s="79">
        <f t="shared" si="50"/>
        <v>5</v>
      </c>
      <c r="H186" s="80">
        <f t="shared" si="51"/>
        <v>2.5</v>
      </c>
      <c r="I186" s="81">
        <f t="shared" si="52"/>
        <v>0</v>
      </c>
      <c r="J186" s="82"/>
      <c r="K186" s="83"/>
      <c r="L186" s="84">
        <f t="shared" si="53"/>
        <v>50</v>
      </c>
      <c r="M186" s="65"/>
      <c r="N186" s="65"/>
      <c r="O186" s="65"/>
      <c r="P186" s="65"/>
      <c r="Q186" s="65"/>
      <c r="R186" s="65"/>
      <c r="S186" s="65"/>
      <c r="T186" s="65"/>
      <c r="U186" s="65"/>
      <c r="V186" s="65"/>
      <c r="W186" s="65"/>
      <c r="X186" s="65"/>
      <c r="Y186" s="65"/>
      <c r="Z186" s="66"/>
      <c r="AA186" s="66"/>
      <c r="AB186" s="66"/>
    </row>
    <row r="187" hidden="1" outlineLevel="1">
      <c r="A187" s="71">
        <v>46549.0</v>
      </c>
      <c r="B187" s="100">
        <f t="shared" si="48"/>
        <v>0</v>
      </c>
      <c r="C187" s="75">
        <v>0.1</v>
      </c>
      <c r="D187" s="76">
        <v>0.05</v>
      </c>
      <c r="E187" s="77">
        <v>3.0</v>
      </c>
      <c r="F187" s="78" t="str">
        <f t="shared" si="49"/>
        <v>#DIV/0!</v>
      </c>
      <c r="G187" s="79">
        <f t="shared" si="50"/>
        <v>5</v>
      </c>
      <c r="H187" s="80">
        <f t="shared" si="51"/>
        <v>2.5</v>
      </c>
      <c r="I187" s="81">
        <f t="shared" si="52"/>
        <v>0</v>
      </c>
      <c r="J187" s="82"/>
      <c r="K187" s="83"/>
      <c r="L187" s="84">
        <f t="shared" si="53"/>
        <v>50</v>
      </c>
      <c r="M187" s="65"/>
      <c r="N187" s="65"/>
      <c r="O187" s="65"/>
      <c r="P187" s="65"/>
      <c r="Q187" s="65"/>
      <c r="R187" s="65"/>
      <c r="S187" s="65"/>
      <c r="T187" s="65"/>
      <c r="U187" s="65"/>
      <c r="V187" s="65"/>
      <c r="W187" s="65"/>
      <c r="X187" s="65"/>
      <c r="Y187" s="65"/>
      <c r="Z187" s="66"/>
      <c r="AA187" s="66"/>
      <c r="AB187" s="66"/>
    </row>
    <row r="188" hidden="1" outlineLevel="1">
      <c r="A188" s="71">
        <v>46550.0</v>
      </c>
      <c r="B188" s="100">
        <f t="shared" si="48"/>
        <v>0</v>
      </c>
      <c r="C188" s="75">
        <v>0.1</v>
      </c>
      <c r="D188" s="76">
        <v>0.05</v>
      </c>
      <c r="E188" s="77">
        <v>3.0</v>
      </c>
      <c r="F188" s="78" t="str">
        <f t="shared" si="49"/>
        <v>#DIV/0!</v>
      </c>
      <c r="G188" s="79">
        <f t="shared" si="50"/>
        <v>5</v>
      </c>
      <c r="H188" s="80">
        <f t="shared" si="51"/>
        <v>2.5</v>
      </c>
      <c r="I188" s="81">
        <f t="shared" si="52"/>
        <v>0</v>
      </c>
      <c r="J188" s="82"/>
      <c r="K188" s="83"/>
      <c r="L188" s="84">
        <f t="shared" si="53"/>
        <v>50</v>
      </c>
      <c r="M188" s="65"/>
      <c r="N188" s="65"/>
      <c r="O188" s="65"/>
      <c r="P188" s="65"/>
      <c r="Q188" s="65"/>
      <c r="R188" s="65"/>
      <c r="S188" s="65"/>
      <c r="T188" s="65"/>
      <c r="U188" s="65"/>
      <c r="V188" s="65"/>
      <c r="W188" s="65"/>
      <c r="X188" s="65"/>
      <c r="Y188" s="65"/>
      <c r="Z188" s="66"/>
      <c r="AA188" s="66"/>
      <c r="AB188" s="66"/>
    </row>
    <row r="189" hidden="1" outlineLevel="1">
      <c r="A189" s="71">
        <v>46551.0</v>
      </c>
      <c r="B189" s="100">
        <f t="shared" si="48"/>
        <v>0</v>
      </c>
      <c r="C189" s="75">
        <v>0.1</v>
      </c>
      <c r="D189" s="76">
        <v>0.05</v>
      </c>
      <c r="E189" s="77">
        <v>3.0</v>
      </c>
      <c r="F189" s="78" t="str">
        <f t="shared" si="49"/>
        <v>#DIV/0!</v>
      </c>
      <c r="G189" s="79">
        <f t="shared" si="50"/>
        <v>5</v>
      </c>
      <c r="H189" s="80">
        <f t="shared" si="51"/>
        <v>2.5</v>
      </c>
      <c r="I189" s="81">
        <f t="shared" si="52"/>
        <v>0</v>
      </c>
      <c r="J189" s="82"/>
      <c r="K189" s="83"/>
      <c r="L189" s="84">
        <f t="shared" si="53"/>
        <v>50</v>
      </c>
      <c r="M189" s="65"/>
      <c r="N189" s="65"/>
      <c r="O189" s="65"/>
      <c r="P189" s="65"/>
      <c r="Q189" s="65"/>
      <c r="R189" s="65"/>
      <c r="S189" s="65"/>
      <c r="T189" s="65"/>
      <c r="U189" s="65"/>
      <c r="V189" s="65"/>
      <c r="W189" s="65"/>
      <c r="X189" s="65"/>
      <c r="Y189" s="65"/>
      <c r="Z189" s="66"/>
      <c r="AA189" s="66"/>
      <c r="AB189" s="66"/>
    </row>
    <row r="190" hidden="1" outlineLevel="1">
      <c r="A190" s="71">
        <v>46552.0</v>
      </c>
      <c r="B190" s="100">
        <f t="shared" si="48"/>
        <v>0</v>
      </c>
      <c r="C190" s="75">
        <v>0.1</v>
      </c>
      <c r="D190" s="76">
        <v>0.05</v>
      </c>
      <c r="E190" s="77">
        <v>3.0</v>
      </c>
      <c r="F190" s="78" t="str">
        <f t="shared" si="49"/>
        <v>#DIV/0!</v>
      </c>
      <c r="G190" s="79">
        <f t="shared" si="50"/>
        <v>5</v>
      </c>
      <c r="H190" s="80">
        <f t="shared" si="51"/>
        <v>2.5</v>
      </c>
      <c r="I190" s="81">
        <f t="shared" si="52"/>
        <v>0</v>
      </c>
      <c r="J190" s="82"/>
      <c r="K190" s="83"/>
      <c r="L190" s="84">
        <f t="shared" si="53"/>
        <v>50</v>
      </c>
      <c r="M190" s="65"/>
      <c r="N190" s="65"/>
      <c r="O190" s="65"/>
      <c r="P190" s="65"/>
      <c r="Q190" s="65"/>
      <c r="R190" s="65"/>
      <c r="S190" s="65"/>
      <c r="T190" s="65"/>
      <c r="U190" s="65"/>
      <c r="V190" s="65"/>
      <c r="W190" s="65"/>
      <c r="X190" s="65"/>
      <c r="Y190" s="65"/>
      <c r="Z190" s="66"/>
      <c r="AA190" s="66"/>
      <c r="AB190" s="66"/>
    </row>
    <row r="191" hidden="1" outlineLevel="1">
      <c r="A191" s="71">
        <v>46553.0</v>
      </c>
      <c r="B191" s="100">
        <f t="shared" si="48"/>
        <v>0</v>
      </c>
      <c r="C191" s="75">
        <v>0.1</v>
      </c>
      <c r="D191" s="76">
        <v>0.05</v>
      </c>
      <c r="E191" s="77">
        <v>3.0</v>
      </c>
      <c r="F191" s="78" t="str">
        <f t="shared" si="49"/>
        <v>#DIV/0!</v>
      </c>
      <c r="G191" s="79">
        <f t="shared" si="50"/>
        <v>5</v>
      </c>
      <c r="H191" s="80">
        <f t="shared" si="51"/>
        <v>2.5</v>
      </c>
      <c r="I191" s="81">
        <f t="shared" si="52"/>
        <v>0</v>
      </c>
      <c r="J191" s="82"/>
      <c r="K191" s="83"/>
      <c r="L191" s="84">
        <f t="shared" si="53"/>
        <v>50</v>
      </c>
      <c r="M191" s="65"/>
      <c r="N191" s="65"/>
      <c r="O191" s="65"/>
      <c r="P191" s="65"/>
      <c r="Q191" s="65"/>
      <c r="R191" s="65"/>
      <c r="S191" s="65"/>
      <c r="T191" s="65"/>
      <c r="U191" s="65"/>
      <c r="V191" s="65"/>
      <c r="W191" s="65"/>
      <c r="X191" s="65"/>
      <c r="Y191" s="65"/>
      <c r="Z191" s="66"/>
      <c r="AA191" s="66"/>
      <c r="AB191" s="66"/>
    </row>
    <row r="192" hidden="1" outlineLevel="1">
      <c r="A192" s="71">
        <v>46554.0</v>
      </c>
      <c r="B192" s="100">
        <f t="shared" si="48"/>
        <v>0</v>
      </c>
      <c r="C192" s="75">
        <v>0.1</v>
      </c>
      <c r="D192" s="76">
        <v>0.05</v>
      </c>
      <c r="E192" s="77">
        <v>3.0</v>
      </c>
      <c r="F192" s="78" t="str">
        <f t="shared" si="49"/>
        <v>#DIV/0!</v>
      </c>
      <c r="G192" s="79">
        <f t="shared" si="50"/>
        <v>5</v>
      </c>
      <c r="H192" s="80">
        <f t="shared" si="51"/>
        <v>2.5</v>
      </c>
      <c r="I192" s="81">
        <f t="shared" si="52"/>
        <v>0</v>
      </c>
      <c r="J192" s="82"/>
      <c r="K192" s="83"/>
      <c r="L192" s="84">
        <f t="shared" si="53"/>
        <v>50</v>
      </c>
      <c r="M192" s="65"/>
      <c r="N192" s="65"/>
      <c r="O192" s="65"/>
      <c r="P192" s="65"/>
      <c r="Q192" s="65"/>
      <c r="R192" s="65"/>
      <c r="S192" s="65"/>
      <c r="T192" s="65"/>
      <c r="U192" s="65"/>
      <c r="V192" s="65"/>
      <c r="W192" s="65"/>
      <c r="X192" s="65"/>
      <c r="Y192" s="65"/>
      <c r="Z192" s="66"/>
      <c r="AA192" s="66"/>
      <c r="AB192" s="66"/>
    </row>
    <row r="193" hidden="1" outlineLevel="1">
      <c r="A193" s="71">
        <v>46555.0</v>
      </c>
      <c r="B193" s="100">
        <f t="shared" si="48"/>
        <v>0</v>
      </c>
      <c r="C193" s="75">
        <v>0.1</v>
      </c>
      <c r="D193" s="76">
        <v>0.05</v>
      </c>
      <c r="E193" s="77">
        <v>3.0</v>
      </c>
      <c r="F193" s="78" t="str">
        <f t="shared" si="49"/>
        <v>#DIV/0!</v>
      </c>
      <c r="G193" s="79">
        <f t="shared" si="50"/>
        <v>5</v>
      </c>
      <c r="H193" s="80">
        <f t="shared" si="51"/>
        <v>2.5</v>
      </c>
      <c r="I193" s="81">
        <f t="shared" si="52"/>
        <v>0</v>
      </c>
      <c r="J193" s="82"/>
      <c r="K193" s="83"/>
      <c r="L193" s="84">
        <f t="shared" si="53"/>
        <v>50</v>
      </c>
      <c r="M193" s="65"/>
      <c r="N193" s="65"/>
      <c r="O193" s="65"/>
      <c r="P193" s="65"/>
      <c r="Q193" s="65"/>
      <c r="R193" s="65"/>
      <c r="S193" s="65"/>
      <c r="T193" s="65"/>
      <c r="U193" s="65"/>
      <c r="V193" s="65"/>
      <c r="W193" s="65"/>
      <c r="X193" s="65"/>
      <c r="Y193" s="65"/>
      <c r="Z193" s="66"/>
      <c r="AA193" s="66"/>
      <c r="AB193" s="66"/>
    </row>
    <row r="194" hidden="1" outlineLevel="1">
      <c r="A194" s="71">
        <v>46556.0</v>
      </c>
      <c r="B194" s="100">
        <f t="shared" si="48"/>
        <v>0</v>
      </c>
      <c r="C194" s="75">
        <v>0.1</v>
      </c>
      <c r="D194" s="76">
        <v>0.05</v>
      </c>
      <c r="E194" s="77">
        <v>3.0</v>
      </c>
      <c r="F194" s="78" t="str">
        <f t="shared" si="49"/>
        <v>#DIV/0!</v>
      </c>
      <c r="G194" s="79">
        <f t="shared" si="50"/>
        <v>5</v>
      </c>
      <c r="H194" s="80">
        <f t="shared" si="51"/>
        <v>2.5</v>
      </c>
      <c r="I194" s="81">
        <f t="shared" si="52"/>
        <v>0</v>
      </c>
      <c r="J194" s="82"/>
      <c r="K194" s="83"/>
      <c r="L194" s="84">
        <f t="shared" si="53"/>
        <v>50</v>
      </c>
      <c r="M194" s="65"/>
      <c r="N194" s="65"/>
      <c r="O194" s="65"/>
      <c r="P194" s="65"/>
      <c r="Q194" s="65"/>
      <c r="R194" s="65"/>
      <c r="S194" s="65"/>
      <c r="T194" s="65"/>
      <c r="U194" s="65"/>
      <c r="V194" s="65"/>
      <c r="W194" s="65"/>
      <c r="X194" s="65"/>
      <c r="Y194" s="65"/>
      <c r="Z194" s="66"/>
      <c r="AA194" s="66"/>
      <c r="AB194" s="66"/>
    </row>
    <row r="195" hidden="1" outlineLevel="1">
      <c r="A195" s="71">
        <v>46557.0</v>
      </c>
      <c r="B195" s="100">
        <f t="shared" si="48"/>
        <v>0</v>
      </c>
      <c r="C195" s="75">
        <v>0.1</v>
      </c>
      <c r="D195" s="76">
        <v>0.05</v>
      </c>
      <c r="E195" s="77">
        <v>3.0</v>
      </c>
      <c r="F195" s="78" t="str">
        <f t="shared" si="49"/>
        <v>#DIV/0!</v>
      </c>
      <c r="G195" s="79">
        <f t="shared" si="50"/>
        <v>5</v>
      </c>
      <c r="H195" s="80">
        <f t="shared" si="51"/>
        <v>2.5</v>
      </c>
      <c r="I195" s="81">
        <f t="shared" si="52"/>
        <v>0</v>
      </c>
      <c r="J195" s="82"/>
      <c r="K195" s="83"/>
      <c r="L195" s="84">
        <f t="shared" si="53"/>
        <v>50</v>
      </c>
      <c r="M195" s="65"/>
      <c r="N195" s="65"/>
      <c r="O195" s="65"/>
      <c r="P195" s="65"/>
      <c r="Q195" s="65"/>
      <c r="R195" s="65"/>
      <c r="S195" s="65"/>
      <c r="T195" s="65"/>
      <c r="U195" s="65"/>
      <c r="V195" s="65"/>
      <c r="W195" s="65"/>
      <c r="X195" s="65"/>
      <c r="Y195" s="65"/>
      <c r="Z195" s="66"/>
      <c r="AA195" s="66"/>
      <c r="AB195" s="66"/>
    </row>
    <row r="196" hidden="1" outlineLevel="1">
      <c r="A196" s="71">
        <v>46558.0</v>
      </c>
      <c r="B196" s="100">
        <f t="shared" si="48"/>
        <v>0</v>
      </c>
      <c r="C196" s="75">
        <v>0.1</v>
      </c>
      <c r="D196" s="76">
        <v>0.05</v>
      </c>
      <c r="E196" s="77">
        <v>3.0</v>
      </c>
      <c r="F196" s="78" t="str">
        <f t="shared" si="49"/>
        <v>#DIV/0!</v>
      </c>
      <c r="G196" s="79">
        <f t="shared" si="50"/>
        <v>5</v>
      </c>
      <c r="H196" s="80">
        <f t="shared" si="51"/>
        <v>2.5</v>
      </c>
      <c r="I196" s="81">
        <f t="shared" si="52"/>
        <v>0</v>
      </c>
      <c r="J196" s="82"/>
      <c r="K196" s="83"/>
      <c r="L196" s="84">
        <f t="shared" si="53"/>
        <v>50</v>
      </c>
      <c r="M196" s="65"/>
      <c r="N196" s="65"/>
      <c r="O196" s="65"/>
      <c r="P196" s="65"/>
      <c r="Q196" s="65"/>
      <c r="R196" s="65"/>
      <c r="S196" s="65"/>
      <c r="T196" s="65"/>
      <c r="U196" s="65"/>
      <c r="V196" s="65"/>
      <c r="W196" s="65"/>
      <c r="X196" s="65"/>
      <c r="Y196" s="65"/>
      <c r="Z196" s="66"/>
      <c r="AA196" s="66"/>
      <c r="AB196" s="66"/>
    </row>
    <row r="197" hidden="1" outlineLevel="1">
      <c r="A197" s="71">
        <v>46559.0</v>
      </c>
      <c r="B197" s="100">
        <f t="shared" si="48"/>
        <v>0</v>
      </c>
      <c r="C197" s="75">
        <v>0.1</v>
      </c>
      <c r="D197" s="76">
        <v>0.05</v>
      </c>
      <c r="E197" s="77">
        <v>3.0</v>
      </c>
      <c r="F197" s="78" t="str">
        <f t="shared" si="49"/>
        <v>#DIV/0!</v>
      </c>
      <c r="G197" s="79">
        <f t="shared" si="50"/>
        <v>5</v>
      </c>
      <c r="H197" s="80">
        <f t="shared" si="51"/>
        <v>2.5</v>
      </c>
      <c r="I197" s="81">
        <f t="shared" si="52"/>
        <v>0</v>
      </c>
      <c r="J197" s="82"/>
      <c r="K197" s="83"/>
      <c r="L197" s="84">
        <f t="shared" si="53"/>
        <v>50</v>
      </c>
      <c r="M197" s="65"/>
      <c r="N197" s="65"/>
      <c r="O197" s="65"/>
      <c r="P197" s="65"/>
      <c r="Q197" s="65"/>
      <c r="R197" s="65"/>
      <c r="S197" s="65"/>
      <c r="T197" s="65"/>
      <c r="U197" s="65"/>
      <c r="V197" s="65"/>
      <c r="W197" s="65"/>
      <c r="X197" s="65"/>
      <c r="Y197" s="65"/>
      <c r="Z197" s="66"/>
      <c r="AA197" s="66"/>
      <c r="AB197" s="66"/>
    </row>
    <row r="198" hidden="1" outlineLevel="1">
      <c r="A198" s="71">
        <v>46560.0</v>
      </c>
      <c r="B198" s="100">
        <f t="shared" si="48"/>
        <v>0</v>
      </c>
      <c r="C198" s="75">
        <v>0.1</v>
      </c>
      <c r="D198" s="76">
        <v>0.05</v>
      </c>
      <c r="E198" s="77">
        <v>3.0</v>
      </c>
      <c r="F198" s="78" t="str">
        <f t="shared" si="49"/>
        <v>#DIV/0!</v>
      </c>
      <c r="G198" s="79">
        <f t="shared" si="50"/>
        <v>5</v>
      </c>
      <c r="H198" s="80">
        <f t="shared" si="51"/>
        <v>2.5</v>
      </c>
      <c r="I198" s="81">
        <f t="shared" si="52"/>
        <v>0</v>
      </c>
      <c r="J198" s="82"/>
      <c r="K198" s="83"/>
      <c r="L198" s="84">
        <f t="shared" si="53"/>
        <v>50</v>
      </c>
      <c r="M198" s="65"/>
      <c r="N198" s="65"/>
      <c r="O198" s="65"/>
      <c r="P198" s="65"/>
      <c r="Q198" s="65"/>
      <c r="R198" s="65"/>
      <c r="S198" s="65"/>
      <c r="T198" s="65"/>
      <c r="U198" s="65"/>
      <c r="V198" s="65"/>
      <c r="W198" s="65"/>
      <c r="X198" s="65"/>
      <c r="Y198" s="65"/>
      <c r="Z198" s="66"/>
      <c r="AA198" s="66"/>
      <c r="AB198" s="66"/>
    </row>
    <row r="199" hidden="1" outlineLevel="1">
      <c r="A199" s="71">
        <v>46561.0</v>
      </c>
      <c r="B199" s="100">
        <f t="shared" si="48"/>
        <v>0</v>
      </c>
      <c r="C199" s="75">
        <v>0.1</v>
      </c>
      <c r="D199" s="76">
        <v>0.05</v>
      </c>
      <c r="E199" s="77">
        <v>3.0</v>
      </c>
      <c r="F199" s="78" t="str">
        <f t="shared" si="49"/>
        <v>#DIV/0!</v>
      </c>
      <c r="G199" s="79">
        <f t="shared" si="50"/>
        <v>5</v>
      </c>
      <c r="H199" s="80">
        <f t="shared" si="51"/>
        <v>2.5</v>
      </c>
      <c r="I199" s="81">
        <f t="shared" si="52"/>
        <v>0</v>
      </c>
      <c r="J199" s="82"/>
      <c r="K199" s="83"/>
      <c r="L199" s="84">
        <f t="shared" si="53"/>
        <v>50</v>
      </c>
      <c r="M199" s="65"/>
      <c r="N199" s="65"/>
      <c r="O199" s="65"/>
      <c r="P199" s="65"/>
      <c r="Q199" s="65"/>
      <c r="R199" s="65"/>
      <c r="S199" s="65"/>
      <c r="T199" s="65"/>
      <c r="U199" s="65"/>
      <c r="V199" s="65"/>
      <c r="W199" s="65"/>
      <c r="X199" s="65"/>
      <c r="Y199" s="65"/>
      <c r="Z199" s="66"/>
      <c r="AA199" s="66"/>
      <c r="AB199" s="66"/>
    </row>
    <row r="200" hidden="1" outlineLevel="1">
      <c r="A200" s="71">
        <v>46562.0</v>
      </c>
      <c r="B200" s="100">
        <f t="shared" si="48"/>
        <v>0</v>
      </c>
      <c r="C200" s="75">
        <v>0.1</v>
      </c>
      <c r="D200" s="76">
        <v>0.05</v>
      </c>
      <c r="E200" s="77">
        <v>3.0</v>
      </c>
      <c r="F200" s="78" t="str">
        <f t="shared" si="49"/>
        <v>#DIV/0!</v>
      </c>
      <c r="G200" s="79">
        <f t="shared" si="50"/>
        <v>5</v>
      </c>
      <c r="H200" s="80">
        <f t="shared" si="51"/>
        <v>2.5</v>
      </c>
      <c r="I200" s="81">
        <f t="shared" si="52"/>
        <v>0</v>
      </c>
      <c r="J200" s="82"/>
      <c r="K200" s="83"/>
      <c r="L200" s="84">
        <f t="shared" si="53"/>
        <v>50</v>
      </c>
      <c r="M200" s="65"/>
      <c r="N200" s="65"/>
      <c r="O200" s="65"/>
      <c r="P200" s="65"/>
      <c r="Q200" s="65"/>
      <c r="R200" s="65"/>
      <c r="S200" s="65"/>
      <c r="T200" s="65"/>
      <c r="U200" s="65"/>
      <c r="V200" s="65"/>
      <c r="W200" s="65"/>
      <c r="X200" s="65"/>
      <c r="Y200" s="65"/>
      <c r="Z200" s="66"/>
      <c r="AA200" s="66"/>
      <c r="AB200" s="66"/>
    </row>
    <row r="201" hidden="1" outlineLevel="1">
      <c r="A201" s="71">
        <v>46563.0</v>
      </c>
      <c r="B201" s="100">
        <f t="shared" si="48"/>
        <v>0</v>
      </c>
      <c r="C201" s="75">
        <v>0.1</v>
      </c>
      <c r="D201" s="76">
        <v>0.05</v>
      </c>
      <c r="E201" s="77">
        <v>3.0</v>
      </c>
      <c r="F201" s="78" t="str">
        <f t="shared" si="49"/>
        <v>#DIV/0!</v>
      </c>
      <c r="G201" s="79">
        <f t="shared" si="50"/>
        <v>5</v>
      </c>
      <c r="H201" s="80">
        <f t="shared" si="51"/>
        <v>2.5</v>
      </c>
      <c r="I201" s="81">
        <f t="shared" si="52"/>
        <v>0</v>
      </c>
      <c r="J201" s="82"/>
      <c r="K201" s="83"/>
      <c r="L201" s="84">
        <f t="shared" si="53"/>
        <v>50</v>
      </c>
      <c r="M201" s="65"/>
      <c r="N201" s="65"/>
      <c r="O201" s="65"/>
      <c r="P201" s="65"/>
      <c r="Q201" s="65"/>
      <c r="R201" s="65"/>
      <c r="S201" s="65"/>
      <c r="T201" s="65"/>
      <c r="U201" s="65"/>
      <c r="V201" s="65"/>
      <c r="W201" s="65"/>
      <c r="X201" s="65"/>
      <c r="Y201" s="65"/>
      <c r="Z201" s="66"/>
      <c r="AA201" s="66"/>
      <c r="AB201" s="66"/>
    </row>
    <row r="202" hidden="1" outlineLevel="1">
      <c r="A202" s="71">
        <v>46564.0</v>
      </c>
      <c r="B202" s="100">
        <f t="shared" si="48"/>
        <v>0</v>
      </c>
      <c r="C202" s="75">
        <v>0.1</v>
      </c>
      <c r="D202" s="76">
        <v>0.05</v>
      </c>
      <c r="E202" s="77">
        <v>3.0</v>
      </c>
      <c r="F202" s="78" t="str">
        <f t="shared" si="49"/>
        <v>#DIV/0!</v>
      </c>
      <c r="G202" s="79">
        <f t="shared" si="50"/>
        <v>5</v>
      </c>
      <c r="H202" s="80">
        <f t="shared" si="51"/>
        <v>2.5</v>
      </c>
      <c r="I202" s="81">
        <f t="shared" si="52"/>
        <v>0</v>
      </c>
      <c r="J202" s="82"/>
      <c r="K202" s="83"/>
      <c r="L202" s="84">
        <f t="shared" si="53"/>
        <v>50</v>
      </c>
      <c r="M202" s="65"/>
      <c r="N202" s="65"/>
      <c r="O202" s="65"/>
      <c r="P202" s="65"/>
      <c r="Q202" s="65"/>
      <c r="R202" s="65"/>
      <c r="S202" s="65"/>
      <c r="T202" s="65"/>
      <c r="U202" s="65"/>
      <c r="V202" s="65"/>
      <c r="W202" s="65"/>
      <c r="X202" s="65"/>
      <c r="Y202" s="65"/>
      <c r="Z202" s="66"/>
      <c r="AA202" s="66"/>
      <c r="AB202" s="66"/>
    </row>
    <row r="203" hidden="1" outlineLevel="1">
      <c r="A203" s="71">
        <v>46565.0</v>
      </c>
      <c r="B203" s="100">
        <f t="shared" si="48"/>
        <v>0</v>
      </c>
      <c r="C203" s="75">
        <v>0.1</v>
      </c>
      <c r="D203" s="76">
        <v>0.05</v>
      </c>
      <c r="E203" s="77">
        <v>3.0</v>
      </c>
      <c r="F203" s="78" t="str">
        <f t="shared" si="49"/>
        <v>#DIV/0!</v>
      </c>
      <c r="G203" s="79">
        <f t="shared" si="50"/>
        <v>5</v>
      </c>
      <c r="H203" s="80">
        <f t="shared" si="51"/>
        <v>2.5</v>
      </c>
      <c r="I203" s="81">
        <f t="shared" si="52"/>
        <v>0</v>
      </c>
      <c r="J203" s="82"/>
      <c r="K203" s="83"/>
      <c r="L203" s="84">
        <f t="shared" si="53"/>
        <v>50</v>
      </c>
      <c r="M203" s="65"/>
      <c r="N203" s="65"/>
      <c r="O203" s="65"/>
      <c r="P203" s="65"/>
      <c r="Q203" s="65"/>
      <c r="R203" s="65"/>
      <c r="S203" s="65"/>
      <c r="T203" s="65"/>
      <c r="U203" s="65"/>
      <c r="V203" s="65"/>
      <c r="W203" s="65"/>
      <c r="X203" s="65"/>
      <c r="Y203" s="65"/>
      <c r="Z203" s="66"/>
      <c r="AA203" s="66"/>
      <c r="AB203" s="66"/>
    </row>
    <row r="204" hidden="1" outlineLevel="1">
      <c r="A204" s="71">
        <v>46566.0</v>
      </c>
      <c r="B204" s="100">
        <f t="shared" si="48"/>
        <v>0</v>
      </c>
      <c r="C204" s="75">
        <v>0.1</v>
      </c>
      <c r="D204" s="76">
        <v>0.05</v>
      </c>
      <c r="E204" s="77">
        <v>3.0</v>
      </c>
      <c r="F204" s="78" t="str">
        <f t="shared" si="49"/>
        <v>#DIV/0!</v>
      </c>
      <c r="G204" s="79">
        <f t="shared" si="50"/>
        <v>5</v>
      </c>
      <c r="H204" s="80">
        <f t="shared" si="51"/>
        <v>2.5</v>
      </c>
      <c r="I204" s="81">
        <f t="shared" si="52"/>
        <v>0</v>
      </c>
      <c r="J204" s="82"/>
      <c r="K204" s="83"/>
      <c r="L204" s="84">
        <f t="shared" si="53"/>
        <v>50</v>
      </c>
      <c r="M204" s="65"/>
      <c r="N204" s="65"/>
      <c r="O204" s="65"/>
      <c r="P204" s="65"/>
      <c r="Q204" s="65"/>
      <c r="R204" s="65"/>
      <c r="S204" s="65"/>
      <c r="T204" s="65"/>
      <c r="U204" s="65"/>
      <c r="V204" s="65"/>
      <c r="W204" s="65"/>
      <c r="X204" s="65"/>
      <c r="Y204" s="65"/>
      <c r="Z204" s="66"/>
      <c r="AA204" s="66"/>
      <c r="AB204" s="66"/>
    </row>
    <row r="205" hidden="1" outlineLevel="1">
      <c r="A205" s="71">
        <v>46567.0</v>
      </c>
      <c r="B205" s="100">
        <f t="shared" si="48"/>
        <v>0</v>
      </c>
      <c r="C205" s="75">
        <v>0.1</v>
      </c>
      <c r="D205" s="76">
        <v>0.05</v>
      </c>
      <c r="E205" s="77">
        <v>3.0</v>
      </c>
      <c r="F205" s="78" t="str">
        <f t="shared" si="49"/>
        <v>#DIV/0!</v>
      </c>
      <c r="G205" s="79">
        <f t="shared" si="50"/>
        <v>5</v>
      </c>
      <c r="H205" s="80">
        <f t="shared" si="51"/>
        <v>2.5</v>
      </c>
      <c r="I205" s="81">
        <f t="shared" si="52"/>
        <v>0</v>
      </c>
      <c r="J205" s="82"/>
      <c r="K205" s="83"/>
      <c r="L205" s="84">
        <f t="shared" si="53"/>
        <v>50</v>
      </c>
      <c r="M205" s="65"/>
      <c r="N205" s="65"/>
      <c r="O205" s="65"/>
      <c r="P205" s="65"/>
      <c r="Q205" s="65"/>
      <c r="R205" s="65"/>
      <c r="S205" s="65"/>
      <c r="T205" s="65"/>
      <c r="U205" s="65"/>
      <c r="V205" s="65"/>
      <c r="W205" s="65"/>
      <c r="X205" s="65"/>
      <c r="Y205" s="65"/>
      <c r="Z205" s="66"/>
      <c r="AA205" s="66"/>
      <c r="AB205" s="66"/>
    </row>
    <row r="206" hidden="1" outlineLevel="1">
      <c r="A206" s="71">
        <v>46568.0</v>
      </c>
      <c r="B206" s="100">
        <f t="shared" si="48"/>
        <v>0</v>
      </c>
      <c r="C206" s="75">
        <v>0.1</v>
      </c>
      <c r="D206" s="76">
        <v>0.05</v>
      </c>
      <c r="E206" s="77">
        <v>3.0</v>
      </c>
      <c r="F206" s="78" t="str">
        <f t="shared" si="49"/>
        <v>#DIV/0!</v>
      </c>
      <c r="G206" s="79">
        <f t="shared" si="50"/>
        <v>5</v>
      </c>
      <c r="H206" s="80">
        <f t="shared" si="51"/>
        <v>2.5</v>
      </c>
      <c r="I206" s="81">
        <f t="shared" si="52"/>
        <v>0</v>
      </c>
      <c r="J206" s="82"/>
      <c r="K206" s="83"/>
      <c r="L206" s="84">
        <f t="shared" si="53"/>
        <v>50</v>
      </c>
      <c r="M206" s="65"/>
      <c r="N206" s="65"/>
      <c r="O206" s="65"/>
      <c r="P206" s="65"/>
      <c r="Q206" s="65"/>
      <c r="R206" s="65"/>
      <c r="S206" s="65"/>
      <c r="T206" s="65"/>
      <c r="U206" s="65"/>
      <c r="V206" s="65"/>
      <c r="W206" s="65"/>
      <c r="X206" s="65"/>
      <c r="Y206" s="65"/>
      <c r="Z206" s="66"/>
      <c r="AA206" s="66"/>
      <c r="AB206" s="66"/>
    </row>
    <row r="207" hidden="1" outlineLevel="1">
      <c r="A207" s="85" t="s">
        <v>41</v>
      </c>
      <c r="C207" s="86">
        <f>SUM(C177:C206)</f>
        <v>3</v>
      </c>
      <c r="D207" s="87"/>
      <c r="E207" s="87"/>
      <c r="F207" s="87"/>
      <c r="G207" s="87"/>
      <c r="H207" s="87"/>
      <c r="I207" s="87" t="str">
        <f t="shared" ref="I207:K207" si="54">SUM(I177:I206)</f>
        <v>#DIV/0!</v>
      </c>
      <c r="J207" s="89">
        <f t="shared" si="54"/>
        <v>0</v>
      </c>
      <c r="K207" s="87">
        <f t="shared" si="54"/>
        <v>0</v>
      </c>
      <c r="L207" s="89">
        <f>L206</f>
        <v>50</v>
      </c>
      <c r="M207" s="65"/>
      <c r="N207" s="65"/>
      <c r="O207" s="65"/>
      <c r="P207" s="65"/>
      <c r="Q207" s="65"/>
      <c r="R207" s="65"/>
      <c r="S207" s="65"/>
      <c r="T207" s="65"/>
      <c r="U207" s="65"/>
      <c r="V207" s="65"/>
      <c r="W207" s="65"/>
      <c r="X207" s="65"/>
      <c r="Y207" s="65"/>
      <c r="Z207" s="66"/>
      <c r="AA207" s="66"/>
      <c r="AB207" s="66"/>
    </row>
    <row r="208">
      <c r="A208" s="95"/>
      <c r="B208" s="92"/>
      <c r="C208" s="92"/>
      <c r="D208" s="92"/>
      <c r="E208" s="92"/>
      <c r="F208" s="92"/>
      <c r="G208" s="92"/>
      <c r="H208" s="92"/>
      <c r="I208" s="92"/>
      <c r="J208" s="92"/>
      <c r="K208" s="94">
        <f>SUM(K177:K206)</f>
        <v>0</v>
      </c>
      <c r="L208" s="92"/>
      <c r="M208" s="65"/>
      <c r="N208" s="65"/>
      <c r="O208" s="65"/>
      <c r="P208" s="65"/>
      <c r="Q208" s="65"/>
      <c r="R208" s="65"/>
      <c r="S208" s="65"/>
      <c r="T208" s="65"/>
      <c r="U208" s="65"/>
      <c r="V208" s="65"/>
      <c r="W208" s="65"/>
      <c r="X208" s="65"/>
      <c r="Y208" s="65"/>
      <c r="Z208" s="66"/>
      <c r="AA208" s="66"/>
      <c r="AB208" s="66"/>
    </row>
    <row r="209" collapsed="1">
      <c r="A209" s="57" t="s">
        <v>48</v>
      </c>
      <c r="M209" s="65"/>
      <c r="N209" s="65"/>
      <c r="O209" s="65"/>
      <c r="P209" s="65"/>
      <c r="Q209" s="65"/>
      <c r="R209" s="65"/>
      <c r="S209" s="65"/>
      <c r="T209" s="65"/>
      <c r="U209" s="65"/>
      <c r="V209" s="65"/>
      <c r="W209" s="65"/>
      <c r="X209" s="65"/>
      <c r="Y209" s="65"/>
      <c r="Z209" s="66"/>
      <c r="AA209" s="66"/>
      <c r="AB209" s="66"/>
    </row>
    <row r="210" hidden="1" outlineLevel="1">
      <c r="A210" s="71" t="s">
        <v>29</v>
      </c>
      <c r="B210" s="57" t="s">
        <v>30</v>
      </c>
      <c r="C210" s="57" t="s">
        <v>31</v>
      </c>
      <c r="D210" s="72" t="s">
        <v>32</v>
      </c>
      <c r="E210" s="72" t="s">
        <v>33</v>
      </c>
      <c r="F210" s="72" t="s">
        <v>34</v>
      </c>
      <c r="G210" s="73" t="s">
        <v>35</v>
      </c>
      <c r="H210" s="72" t="s">
        <v>36</v>
      </c>
      <c r="I210" s="57" t="s">
        <v>37</v>
      </c>
      <c r="J210" s="74" t="s">
        <v>38</v>
      </c>
      <c r="K210" s="57" t="s">
        <v>39</v>
      </c>
      <c r="L210" s="57" t="s">
        <v>40</v>
      </c>
      <c r="M210" s="65"/>
      <c r="N210" s="65"/>
      <c r="O210" s="65"/>
      <c r="P210" s="65"/>
      <c r="Q210" s="65"/>
      <c r="R210" s="65"/>
      <c r="S210" s="65"/>
      <c r="T210" s="65"/>
      <c r="U210" s="65"/>
      <c r="V210" s="65"/>
      <c r="W210" s="65"/>
      <c r="X210" s="65"/>
      <c r="Y210" s="65"/>
      <c r="Z210" s="66"/>
      <c r="AA210" s="66"/>
      <c r="AB210" s="66"/>
    </row>
    <row r="211" hidden="1" outlineLevel="1">
      <c r="A211" s="71">
        <v>46569.0</v>
      </c>
      <c r="B211" s="100">
        <f t="shared" ref="B211:B241" si="55">ROUND(AVERAGE((H211/1000)/E211), 2)</f>
        <v>0</v>
      </c>
      <c r="C211" s="75">
        <v>0.1</v>
      </c>
      <c r="D211" s="76">
        <v>0.05</v>
      </c>
      <c r="E211" s="77">
        <v>3.0</v>
      </c>
      <c r="F211" s="78" t="str">
        <f t="shared" ref="F211:F241" si="56">H211/B211</f>
        <v>#DIV/0!</v>
      </c>
      <c r="G211" s="79">
        <f>L207*C211</f>
        <v>5</v>
      </c>
      <c r="H211" s="80">
        <f>L207*D211</f>
        <v>2.5</v>
      </c>
      <c r="I211" s="81" t="str">
        <f>(J211/B206)*100</f>
        <v>#DIV/0!</v>
      </c>
      <c r="J211" s="82"/>
      <c r="K211" s="83"/>
      <c r="L211" s="84">
        <f>(L207+J211)-K211</f>
        <v>50</v>
      </c>
      <c r="M211" s="65"/>
      <c r="N211" s="65"/>
      <c r="O211" s="65"/>
      <c r="P211" s="65"/>
      <c r="Q211" s="65"/>
      <c r="R211" s="65"/>
      <c r="S211" s="65"/>
      <c r="T211" s="65"/>
      <c r="U211" s="65"/>
      <c r="V211" s="65"/>
      <c r="W211" s="65"/>
      <c r="X211" s="65"/>
      <c r="Y211" s="65"/>
      <c r="Z211" s="66"/>
      <c r="AA211" s="66"/>
      <c r="AB211" s="66"/>
    </row>
    <row r="212" hidden="1" outlineLevel="1">
      <c r="A212" s="71">
        <v>46570.0</v>
      </c>
      <c r="B212" s="100">
        <f t="shared" si="55"/>
        <v>0</v>
      </c>
      <c r="C212" s="75">
        <v>0.1</v>
      </c>
      <c r="D212" s="76">
        <v>0.05</v>
      </c>
      <c r="E212" s="77">
        <v>3.0</v>
      </c>
      <c r="F212" s="78" t="str">
        <f t="shared" si="56"/>
        <v>#DIV/0!</v>
      </c>
      <c r="G212" s="79">
        <f t="shared" ref="G212:G241" si="57">L211*C212</f>
        <v>5</v>
      </c>
      <c r="H212" s="80">
        <f t="shared" ref="H212:H241" si="58">L211*D212</f>
        <v>2.5</v>
      </c>
      <c r="I212" s="81">
        <f t="shared" ref="I212:I241" si="59">(J212/L211)*100</f>
        <v>0</v>
      </c>
      <c r="J212" s="82"/>
      <c r="K212" s="83"/>
      <c r="L212" s="84">
        <f t="shared" ref="L212:L241" si="60">(L211+J212)-K212</f>
        <v>50</v>
      </c>
      <c r="M212" s="65"/>
      <c r="N212" s="65"/>
      <c r="O212" s="65"/>
      <c r="P212" s="65"/>
      <c r="Q212" s="65"/>
      <c r="R212" s="65"/>
      <c r="S212" s="65"/>
      <c r="T212" s="65"/>
      <c r="U212" s="65"/>
      <c r="V212" s="65"/>
      <c r="W212" s="65"/>
      <c r="X212" s="65"/>
      <c r="Y212" s="65"/>
      <c r="Z212" s="66"/>
      <c r="AA212" s="66"/>
      <c r="AB212" s="66"/>
    </row>
    <row r="213" hidden="1" outlineLevel="1">
      <c r="A213" s="71">
        <v>46571.0</v>
      </c>
      <c r="B213" s="100">
        <f t="shared" si="55"/>
        <v>0</v>
      </c>
      <c r="C213" s="75">
        <v>0.1</v>
      </c>
      <c r="D213" s="76">
        <v>0.05</v>
      </c>
      <c r="E213" s="77">
        <v>3.0</v>
      </c>
      <c r="F213" s="78" t="str">
        <f t="shared" si="56"/>
        <v>#DIV/0!</v>
      </c>
      <c r="G213" s="79">
        <f t="shared" si="57"/>
        <v>5</v>
      </c>
      <c r="H213" s="80">
        <f t="shared" si="58"/>
        <v>2.5</v>
      </c>
      <c r="I213" s="81">
        <f t="shared" si="59"/>
        <v>0</v>
      </c>
      <c r="J213" s="82"/>
      <c r="K213" s="83"/>
      <c r="L213" s="84">
        <f t="shared" si="60"/>
        <v>50</v>
      </c>
      <c r="M213" s="65"/>
      <c r="N213" s="65"/>
      <c r="O213" s="65"/>
      <c r="P213" s="65"/>
      <c r="Q213" s="65"/>
      <c r="R213" s="65"/>
      <c r="S213" s="65"/>
      <c r="T213" s="65"/>
      <c r="U213" s="65"/>
      <c r="V213" s="65"/>
      <c r="W213" s="65"/>
      <c r="X213" s="65"/>
      <c r="Y213" s="65"/>
      <c r="Z213" s="66"/>
      <c r="AA213" s="66"/>
      <c r="AB213" s="66"/>
    </row>
    <row r="214" hidden="1" outlineLevel="1">
      <c r="A214" s="71">
        <v>46572.0</v>
      </c>
      <c r="B214" s="100">
        <f t="shared" si="55"/>
        <v>0</v>
      </c>
      <c r="C214" s="75">
        <v>0.1</v>
      </c>
      <c r="D214" s="76">
        <v>0.05</v>
      </c>
      <c r="E214" s="77">
        <v>3.0</v>
      </c>
      <c r="F214" s="78" t="str">
        <f t="shared" si="56"/>
        <v>#DIV/0!</v>
      </c>
      <c r="G214" s="79">
        <f t="shared" si="57"/>
        <v>5</v>
      </c>
      <c r="H214" s="80">
        <f t="shared" si="58"/>
        <v>2.5</v>
      </c>
      <c r="I214" s="81">
        <f t="shared" si="59"/>
        <v>0</v>
      </c>
      <c r="J214" s="82"/>
      <c r="K214" s="83"/>
      <c r="L214" s="84">
        <f t="shared" si="60"/>
        <v>50</v>
      </c>
      <c r="M214" s="65"/>
      <c r="N214" s="65"/>
      <c r="O214" s="65"/>
      <c r="P214" s="65"/>
      <c r="Q214" s="65"/>
      <c r="R214" s="65"/>
      <c r="S214" s="65"/>
      <c r="T214" s="65"/>
      <c r="U214" s="65"/>
      <c r="V214" s="65"/>
      <c r="W214" s="65"/>
      <c r="X214" s="65"/>
      <c r="Y214" s="65"/>
      <c r="Z214" s="66"/>
      <c r="AA214" s="66"/>
      <c r="AB214" s="66"/>
    </row>
    <row r="215" hidden="1" outlineLevel="1">
      <c r="A215" s="71">
        <v>46573.0</v>
      </c>
      <c r="B215" s="100">
        <f t="shared" si="55"/>
        <v>0</v>
      </c>
      <c r="C215" s="75">
        <v>0.1</v>
      </c>
      <c r="D215" s="76">
        <v>0.05</v>
      </c>
      <c r="E215" s="77">
        <v>3.0</v>
      </c>
      <c r="F215" s="78" t="str">
        <f t="shared" si="56"/>
        <v>#DIV/0!</v>
      </c>
      <c r="G215" s="79">
        <f t="shared" si="57"/>
        <v>5</v>
      </c>
      <c r="H215" s="80">
        <f t="shared" si="58"/>
        <v>2.5</v>
      </c>
      <c r="I215" s="81">
        <f t="shared" si="59"/>
        <v>0</v>
      </c>
      <c r="J215" s="82"/>
      <c r="K215" s="83"/>
      <c r="L215" s="84">
        <f t="shared" si="60"/>
        <v>50</v>
      </c>
      <c r="M215" s="65"/>
      <c r="N215" s="65"/>
      <c r="O215" s="65"/>
      <c r="P215" s="65"/>
      <c r="Q215" s="65"/>
      <c r="R215" s="65"/>
      <c r="S215" s="65"/>
      <c r="T215" s="65"/>
      <c r="U215" s="65"/>
      <c r="V215" s="65"/>
      <c r="W215" s="65"/>
      <c r="X215" s="65"/>
      <c r="Y215" s="65"/>
      <c r="Z215" s="66"/>
      <c r="AA215" s="66"/>
      <c r="AB215" s="66"/>
    </row>
    <row r="216" hidden="1" outlineLevel="1">
      <c r="A216" s="71">
        <v>46574.0</v>
      </c>
      <c r="B216" s="100">
        <f t="shared" si="55"/>
        <v>0</v>
      </c>
      <c r="C216" s="75">
        <v>0.1</v>
      </c>
      <c r="D216" s="76">
        <v>0.05</v>
      </c>
      <c r="E216" s="77">
        <v>3.0</v>
      </c>
      <c r="F216" s="78" t="str">
        <f t="shared" si="56"/>
        <v>#DIV/0!</v>
      </c>
      <c r="G216" s="79">
        <f t="shared" si="57"/>
        <v>5</v>
      </c>
      <c r="H216" s="80">
        <f t="shared" si="58"/>
        <v>2.5</v>
      </c>
      <c r="I216" s="81">
        <f t="shared" si="59"/>
        <v>0</v>
      </c>
      <c r="J216" s="82"/>
      <c r="K216" s="83"/>
      <c r="L216" s="84">
        <f t="shared" si="60"/>
        <v>50</v>
      </c>
      <c r="M216" s="65"/>
      <c r="N216" s="65"/>
      <c r="O216" s="65"/>
      <c r="P216" s="65"/>
      <c r="Q216" s="65"/>
      <c r="R216" s="65"/>
      <c r="S216" s="65"/>
      <c r="T216" s="65"/>
      <c r="U216" s="65"/>
      <c r="V216" s="65"/>
      <c r="W216" s="65"/>
      <c r="X216" s="65"/>
      <c r="Y216" s="65"/>
      <c r="Z216" s="66"/>
      <c r="AA216" s="66"/>
      <c r="AB216" s="66"/>
    </row>
    <row r="217" hidden="1" outlineLevel="1">
      <c r="A217" s="71">
        <v>46575.0</v>
      </c>
      <c r="B217" s="100">
        <f t="shared" si="55"/>
        <v>0</v>
      </c>
      <c r="C217" s="75">
        <v>0.1</v>
      </c>
      <c r="D217" s="76">
        <v>0.05</v>
      </c>
      <c r="E217" s="77">
        <v>3.0</v>
      </c>
      <c r="F217" s="78" t="str">
        <f t="shared" si="56"/>
        <v>#DIV/0!</v>
      </c>
      <c r="G217" s="79">
        <f t="shared" si="57"/>
        <v>5</v>
      </c>
      <c r="H217" s="80">
        <f t="shared" si="58"/>
        <v>2.5</v>
      </c>
      <c r="I217" s="81">
        <f t="shared" si="59"/>
        <v>0</v>
      </c>
      <c r="J217" s="82"/>
      <c r="K217" s="83"/>
      <c r="L217" s="84">
        <f t="shared" si="60"/>
        <v>50</v>
      </c>
      <c r="M217" s="65"/>
      <c r="N217" s="65"/>
      <c r="O217" s="65"/>
      <c r="P217" s="65"/>
      <c r="Q217" s="65"/>
      <c r="R217" s="65"/>
      <c r="S217" s="65"/>
      <c r="T217" s="65"/>
      <c r="U217" s="65"/>
      <c r="V217" s="65"/>
      <c r="W217" s="65"/>
      <c r="X217" s="65"/>
      <c r="Y217" s="65"/>
      <c r="Z217" s="66"/>
      <c r="AA217" s="66"/>
      <c r="AB217" s="66"/>
    </row>
    <row r="218" hidden="1" outlineLevel="1">
      <c r="A218" s="71">
        <v>46576.0</v>
      </c>
      <c r="B218" s="100">
        <f t="shared" si="55"/>
        <v>0</v>
      </c>
      <c r="C218" s="75">
        <v>0.1</v>
      </c>
      <c r="D218" s="76">
        <v>0.05</v>
      </c>
      <c r="E218" s="77">
        <v>3.0</v>
      </c>
      <c r="F218" s="78" t="str">
        <f t="shared" si="56"/>
        <v>#DIV/0!</v>
      </c>
      <c r="G218" s="79">
        <f t="shared" si="57"/>
        <v>5</v>
      </c>
      <c r="H218" s="80">
        <f t="shared" si="58"/>
        <v>2.5</v>
      </c>
      <c r="I218" s="81">
        <f t="shared" si="59"/>
        <v>0</v>
      </c>
      <c r="J218" s="82"/>
      <c r="K218" s="83"/>
      <c r="L218" s="84">
        <f t="shared" si="60"/>
        <v>50</v>
      </c>
      <c r="M218" s="65"/>
      <c r="N218" s="65"/>
      <c r="O218" s="65"/>
      <c r="P218" s="65"/>
      <c r="Q218" s="65"/>
      <c r="R218" s="65"/>
      <c r="S218" s="65"/>
      <c r="T218" s="65"/>
      <c r="U218" s="65"/>
      <c r="V218" s="65"/>
      <c r="W218" s="65"/>
      <c r="X218" s="65"/>
      <c r="Y218" s="65"/>
      <c r="Z218" s="66"/>
      <c r="AA218" s="66"/>
      <c r="AB218" s="66"/>
    </row>
    <row r="219" hidden="1" outlineLevel="1">
      <c r="A219" s="71">
        <v>46577.0</v>
      </c>
      <c r="B219" s="100">
        <f t="shared" si="55"/>
        <v>0</v>
      </c>
      <c r="C219" s="75">
        <v>0.1</v>
      </c>
      <c r="D219" s="76">
        <v>0.05</v>
      </c>
      <c r="E219" s="77">
        <v>3.0</v>
      </c>
      <c r="F219" s="78" t="str">
        <f t="shared" si="56"/>
        <v>#DIV/0!</v>
      </c>
      <c r="G219" s="79">
        <f t="shared" si="57"/>
        <v>5</v>
      </c>
      <c r="H219" s="80">
        <f t="shared" si="58"/>
        <v>2.5</v>
      </c>
      <c r="I219" s="81">
        <f t="shared" si="59"/>
        <v>0</v>
      </c>
      <c r="J219" s="82"/>
      <c r="K219" s="83"/>
      <c r="L219" s="84">
        <f t="shared" si="60"/>
        <v>50</v>
      </c>
      <c r="M219" s="65"/>
      <c r="N219" s="65"/>
      <c r="O219" s="65"/>
      <c r="P219" s="65"/>
      <c r="Q219" s="65"/>
      <c r="R219" s="65"/>
      <c r="S219" s="65"/>
      <c r="T219" s="65"/>
      <c r="U219" s="65"/>
      <c r="V219" s="65"/>
      <c r="W219" s="65"/>
      <c r="X219" s="65"/>
      <c r="Y219" s="65"/>
      <c r="Z219" s="66"/>
      <c r="AA219" s="66"/>
      <c r="AB219" s="66"/>
    </row>
    <row r="220" hidden="1" outlineLevel="1">
      <c r="A220" s="71">
        <v>46578.0</v>
      </c>
      <c r="B220" s="100">
        <f t="shared" si="55"/>
        <v>0</v>
      </c>
      <c r="C220" s="75">
        <v>0.1</v>
      </c>
      <c r="D220" s="76">
        <v>0.05</v>
      </c>
      <c r="E220" s="77">
        <v>3.0</v>
      </c>
      <c r="F220" s="78" t="str">
        <f t="shared" si="56"/>
        <v>#DIV/0!</v>
      </c>
      <c r="G220" s="79">
        <f t="shared" si="57"/>
        <v>5</v>
      </c>
      <c r="H220" s="80">
        <f t="shared" si="58"/>
        <v>2.5</v>
      </c>
      <c r="I220" s="81">
        <f t="shared" si="59"/>
        <v>0</v>
      </c>
      <c r="J220" s="82"/>
      <c r="K220" s="83"/>
      <c r="L220" s="84">
        <f t="shared" si="60"/>
        <v>50</v>
      </c>
      <c r="M220" s="65"/>
      <c r="N220" s="65"/>
      <c r="O220" s="65"/>
      <c r="P220" s="65"/>
      <c r="Q220" s="65"/>
      <c r="R220" s="65"/>
      <c r="S220" s="65"/>
      <c r="T220" s="65"/>
      <c r="U220" s="65"/>
      <c r="V220" s="65"/>
      <c r="W220" s="65"/>
      <c r="X220" s="65"/>
      <c r="Y220" s="65"/>
      <c r="Z220" s="66"/>
      <c r="AA220" s="66"/>
      <c r="AB220" s="66"/>
    </row>
    <row r="221" hidden="1" outlineLevel="1">
      <c r="A221" s="71">
        <v>46579.0</v>
      </c>
      <c r="B221" s="100">
        <f t="shared" si="55"/>
        <v>0</v>
      </c>
      <c r="C221" s="75">
        <v>0.1</v>
      </c>
      <c r="D221" s="76">
        <v>0.05</v>
      </c>
      <c r="E221" s="77">
        <v>3.0</v>
      </c>
      <c r="F221" s="78" t="str">
        <f t="shared" si="56"/>
        <v>#DIV/0!</v>
      </c>
      <c r="G221" s="79">
        <f t="shared" si="57"/>
        <v>5</v>
      </c>
      <c r="H221" s="80">
        <f t="shared" si="58"/>
        <v>2.5</v>
      </c>
      <c r="I221" s="81">
        <f t="shared" si="59"/>
        <v>0</v>
      </c>
      <c r="J221" s="82"/>
      <c r="K221" s="83"/>
      <c r="L221" s="84">
        <f t="shared" si="60"/>
        <v>50</v>
      </c>
      <c r="M221" s="65"/>
      <c r="N221" s="65"/>
      <c r="O221" s="65"/>
      <c r="P221" s="65"/>
      <c r="Q221" s="65"/>
      <c r="R221" s="65"/>
      <c r="S221" s="65"/>
      <c r="T221" s="65"/>
      <c r="U221" s="65"/>
      <c r="V221" s="65"/>
      <c r="W221" s="65"/>
      <c r="X221" s="65"/>
      <c r="Y221" s="65"/>
      <c r="Z221" s="66"/>
      <c r="AA221" s="66"/>
      <c r="AB221" s="66"/>
    </row>
    <row r="222" hidden="1" outlineLevel="1">
      <c r="A222" s="71">
        <v>46580.0</v>
      </c>
      <c r="B222" s="100">
        <f t="shared" si="55"/>
        <v>0</v>
      </c>
      <c r="C222" s="75">
        <v>0.1</v>
      </c>
      <c r="D222" s="76">
        <v>0.05</v>
      </c>
      <c r="E222" s="77">
        <v>3.0</v>
      </c>
      <c r="F222" s="78" t="str">
        <f t="shared" si="56"/>
        <v>#DIV/0!</v>
      </c>
      <c r="G222" s="79">
        <f t="shared" si="57"/>
        <v>5</v>
      </c>
      <c r="H222" s="80">
        <f t="shared" si="58"/>
        <v>2.5</v>
      </c>
      <c r="I222" s="81">
        <f t="shared" si="59"/>
        <v>0</v>
      </c>
      <c r="J222" s="82"/>
      <c r="K222" s="83"/>
      <c r="L222" s="84">
        <f t="shared" si="60"/>
        <v>50</v>
      </c>
      <c r="M222" s="65"/>
      <c r="N222" s="65"/>
      <c r="O222" s="65"/>
      <c r="P222" s="65"/>
      <c r="Q222" s="65"/>
      <c r="R222" s="65"/>
      <c r="S222" s="65"/>
      <c r="T222" s="65"/>
      <c r="U222" s="65"/>
      <c r="V222" s="65"/>
      <c r="W222" s="65"/>
      <c r="X222" s="65"/>
      <c r="Y222" s="65"/>
      <c r="Z222" s="66"/>
      <c r="AA222" s="66"/>
      <c r="AB222" s="66"/>
    </row>
    <row r="223" hidden="1" outlineLevel="1">
      <c r="A223" s="71">
        <v>46581.0</v>
      </c>
      <c r="B223" s="100">
        <f t="shared" si="55"/>
        <v>0</v>
      </c>
      <c r="C223" s="75">
        <v>0.1</v>
      </c>
      <c r="D223" s="76">
        <v>0.05</v>
      </c>
      <c r="E223" s="77">
        <v>3.0</v>
      </c>
      <c r="F223" s="78" t="str">
        <f t="shared" si="56"/>
        <v>#DIV/0!</v>
      </c>
      <c r="G223" s="79">
        <f t="shared" si="57"/>
        <v>5</v>
      </c>
      <c r="H223" s="80">
        <f t="shared" si="58"/>
        <v>2.5</v>
      </c>
      <c r="I223" s="81">
        <f t="shared" si="59"/>
        <v>0</v>
      </c>
      <c r="J223" s="82"/>
      <c r="K223" s="83"/>
      <c r="L223" s="84">
        <f t="shared" si="60"/>
        <v>50</v>
      </c>
      <c r="M223" s="65"/>
      <c r="N223" s="65"/>
      <c r="O223" s="65"/>
      <c r="P223" s="65"/>
      <c r="Q223" s="65"/>
      <c r="R223" s="65"/>
      <c r="S223" s="65"/>
      <c r="T223" s="65"/>
      <c r="U223" s="65"/>
      <c r="V223" s="65"/>
      <c r="W223" s="65"/>
      <c r="X223" s="65"/>
      <c r="Y223" s="65"/>
      <c r="Z223" s="66"/>
      <c r="AA223" s="66"/>
      <c r="AB223" s="66"/>
    </row>
    <row r="224" hidden="1" outlineLevel="1">
      <c r="A224" s="71">
        <v>46582.0</v>
      </c>
      <c r="B224" s="100">
        <f t="shared" si="55"/>
        <v>0</v>
      </c>
      <c r="C224" s="75">
        <v>0.1</v>
      </c>
      <c r="D224" s="76">
        <v>0.05</v>
      </c>
      <c r="E224" s="77">
        <v>3.0</v>
      </c>
      <c r="F224" s="78" t="str">
        <f t="shared" si="56"/>
        <v>#DIV/0!</v>
      </c>
      <c r="G224" s="79">
        <f t="shared" si="57"/>
        <v>5</v>
      </c>
      <c r="H224" s="80">
        <f t="shared" si="58"/>
        <v>2.5</v>
      </c>
      <c r="I224" s="81">
        <f t="shared" si="59"/>
        <v>0</v>
      </c>
      <c r="J224" s="82"/>
      <c r="K224" s="83"/>
      <c r="L224" s="84">
        <f t="shared" si="60"/>
        <v>50</v>
      </c>
      <c r="M224" s="65"/>
      <c r="N224" s="65"/>
      <c r="O224" s="65"/>
      <c r="P224" s="65"/>
      <c r="Q224" s="65"/>
      <c r="R224" s="65"/>
      <c r="S224" s="65"/>
      <c r="T224" s="65"/>
      <c r="U224" s="65"/>
      <c r="V224" s="65"/>
      <c r="W224" s="65"/>
      <c r="X224" s="65"/>
      <c r="Y224" s="65"/>
      <c r="Z224" s="66"/>
      <c r="AA224" s="66"/>
      <c r="AB224" s="66"/>
    </row>
    <row r="225" hidden="1" outlineLevel="1">
      <c r="A225" s="71">
        <v>46583.0</v>
      </c>
      <c r="B225" s="100">
        <f t="shared" si="55"/>
        <v>0</v>
      </c>
      <c r="C225" s="75">
        <v>0.1</v>
      </c>
      <c r="D225" s="76">
        <v>0.05</v>
      </c>
      <c r="E225" s="77">
        <v>3.0</v>
      </c>
      <c r="F225" s="78" t="str">
        <f t="shared" si="56"/>
        <v>#DIV/0!</v>
      </c>
      <c r="G225" s="79">
        <f t="shared" si="57"/>
        <v>5</v>
      </c>
      <c r="H225" s="80">
        <f t="shared" si="58"/>
        <v>2.5</v>
      </c>
      <c r="I225" s="81">
        <f t="shared" si="59"/>
        <v>0</v>
      </c>
      <c r="J225" s="82"/>
      <c r="K225" s="83"/>
      <c r="L225" s="84">
        <f t="shared" si="60"/>
        <v>50</v>
      </c>
      <c r="M225" s="65"/>
      <c r="N225" s="65"/>
      <c r="O225" s="65"/>
      <c r="P225" s="65"/>
      <c r="Q225" s="65"/>
      <c r="R225" s="65"/>
      <c r="S225" s="65"/>
      <c r="T225" s="65"/>
      <c r="U225" s="65"/>
      <c r="V225" s="65"/>
      <c r="W225" s="65"/>
      <c r="X225" s="65"/>
      <c r="Y225" s="65"/>
      <c r="Z225" s="66"/>
      <c r="AA225" s="66"/>
      <c r="AB225" s="66"/>
    </row>
    <row r="226" hidden="1" outlineLevel="1">
      <c r="A226" s="71">
        <v>46584.0</v>
      </c>
      <c r="B226" s="100">
        <f t="shared" si="55"/>
        <v>0</v>
      </c>
      <c r="C226" s="75">
        <v>0.1</v>
      </c>
      <c r="D226" s="76">
        <v>0.05</v>
      </c>
      <c r="E226" s="77">
        <v>3.0</v>
      </c>
      <c r="F226" s="78" t="str">
        <f t="shared" si="56"/>
        <v>#DIV/0!</v>
      </c>
      <c r="G226" s="79">
        <f t="shared" si="57"/>
        <v>5</v>
      </c>
      <c r="H226" s="80">
        <f t="shared" si="58"/>
        <v>2.5</v>
      </c>
      <c r="I226" s="81">
        <f t="shared" si="59"/>
        <v>0</v>
      </c>
      <c r="J226" s="82"/>
      <c r="K226" s="83"/>
      <c r="L226" s="84">
        <f t="shared" si="60"/>
        <v>50</v>
      </c>
      <c r="M226" s="65"/>
      <c r="N226" s="65"/>
      <c r="O226" s="65"/>
      <c r="P226" s="65"/>
      <c r="Q226" s="65"/>
      <c r="R226" s="65"/>
      <c r="S226" s="65"/>
      <c r="T226" s="65"/>
      <c r="U226" s="65"/>
      <c r="V226" s="65"/>
      <c r="W226" s="65"/>
      <c r="X226" s="65"/>
      <c r="Y226" s="65"/>
      <c r="Z226" s="66"/>
      <c r="AA226" s="66"/>
      <c r="AB226" s="66"/>
    </row>
    <row r="227" hidden="1" outlineLevel="1">
      <c r="A227" s="71">
        <v>46585.0</v>
      </c>
      <c r="B227" s="100">
        <f t="shared" si="55"/>
        <v>0</v>
      </c>
      <c r="C227" s="75">
        <v>0.1</v>
      </c>
      <c r="D227" s="76">
        <v>0.05</v>
      </c>
      <c r="E227" s="77">
        <v>3.0</v>
      </c>
      <c r="F227" s="78" t="str">
        <f t="shared" si="56"/>
        <v>#DIV/0!</v>
      </c>
      <c r="G227" s="79">
        <f t="shared" si="57"/>
        <v>5</v>
      </c>
      <c r="H227" s="80">
        <f t="shared" si="58"/>
        <v>2.5</v>
      </c>
      <c r="I227" s="81">
        <f t="shared" si="59"/>
        <v>0</v>
      </c>
      <c r="J227" s="82"/>
      <c r="K227" s="83"/>
      <c r="L227" s="84">
        <f t="shared" si="60"/>
        <v>50</v>
      </c>
      <c r="M227" s="65"/>
      <c r="N227" s="65"/>
      <c r="O227" s="65"/>
      <c r="P227" s="65"/>
      <c r="Q227" s="65"/>
      <c r="R227" s="65"/>
      <c r="S227" s="65"/>
      <c r="T227" s="65"/>
      <c r="U227" s="65"/>
      <c r="V227" s="65"/>
      <c r="W227" s="65"/>
      <c r="X227" s="65"/>
      <c r="Y227" s="65"/>
      <c r="Z227" s="66"/>
      <c r="AA227" s="66"/>
      <c r="AB227" s="66"/>
    </row>
    <row r="228" hidden="1" outlineLevel="1">
      <c r="A228" s="71">
        <v>46586.0</v>
      </c>
      <c r="B228" s="100">
        <f t="shared" si="55"/>
        <v>0</v>
      </c>
      <c r="C228" s="75">
        <v>0.1</v>
      </c>
      <c r="D228" s="76">
        <v>0.05</v>
      </c>
      <c r="E228" s="77">
        <v>3.0</v>
      </c>
      <c r="F228" s="78" t="str">
        <f t="shared" si="56"/>
        <v>#DIV/0!</v>
      </c>
      <c r="G228" s="79">
        <f t="shared" si="57"/>
        <v>5</v>
      </c>
      <c r="H228" s="80">
        <f t="shared" si="58"/>
        <v>2.5</v>
      </c>
      <c r="I228" s="81">
        <f t="shared" si="59"/>
        <v>0</v>
      </c>
      <c r="J228" s="82"/>
      <c r="K228" s="83"/>
      <c r="L228" s="84">
        <f t="shared" si="60"/>
        <v>50</v>
      </c>
      <c r="M228" s="65"/>
      <c r="N228" s="65"/>
      <c r="O228" s="65"/>
      <c r="P228" s="65"/>
      <c r="Q228" s="65"/>
      <c r="R228" s="65"/>
      <c r="S228" s="65"/>
      <c r="T228" s="65"/>
      <c r="U228" s="65"/>
      <c r="V228" s="65"/>
      <c r="W228" s="65"/>
      <c r="X228" s="65"/>
      <c r="Y228" s="65"/>
      <c r="Z228" s="66"/>
      <c r="AA228" s="66"/>
      <c r="AB228" s="66"/>
    </row>
    <row r="229" hidden="1" outlineLevel="1">
      <c r="A229" s="71">
        <v>46587.0</v>
      </c>
      <c r="B229" s="100">
        <f t="shared" si="55"/>
        <v>0</v>
      </c>
      <c r="C229" s="75">
        <v>0.1</v>
      </c>
      <c r="D229" s="76">
        <v>0.05</v>
      </c>
      <c r="E229" s="77">
        <v>3.0</v>
      </c>
      <c r="F229" s="78" t="str">
        <f t="shared" si="56"/>
        <v>#DIV/0!</v>
      </c>
      <c r="G229" s="79">
        <f t="shared" si="57"/>
        <v>5</v>
      </c>
      <c r="H229" s="80">
        <f t="shared" si="58"/>
        <v>2.5</v>
      </c>
      <c r="I229" s="81">
        <f t="shared" si="59"/>
        <v>0</v>
      </c>
      <c r="J229" s="82"/>
      <c r="K229" s="83"/>
      <c r="L229" s="84">
        <f t="shared" si="60"/>
        <v>50</v>
      </c>
      <c r="M229" s="65"/>
      <c r="N229" s="65"/>
      <c r="O229" s="65"/>
      <c r="P229" s="65"/>
      <c r="Q229" s="65"/>
      <c r="R229" s="65"/>
      <c r="S229" s="65"/>
      <c r="T229" s="65"/>
      <c r="U229" s="65"/>
      <c r="V229" s="65"/>
      <c r="W229" s="65"/>
      <c r="X229" s="65"/>
      <c r="Y229" s="65"/>
      <c r="Z229" s="66"/>
      <c r="AA229" s="66"/>
      <c r="AB229" s="66"/>
    </row>
    <row r="230" hidden="1" outlineLevel="1">
      <c r="A230" s="71">
        <v>46588.0</v>
      </c>
      <c r="B230" s="100">
        <f t="shared" si="55"/>
        <v>0</v>
      </c>
      <c r="C230" s="75">
        <v>0.1</v>
      </c>
      <c r="D230" s="76">
        <v>0.05</v>
      </c>
      <c r="E230" s="77">
        <v>3.0</v>
      </c>
      <c r="F230" s="78" t="str">
        <f t="shared" si="56"/>
        <v>#DIV/0!</v>
      </c>
      <c r="G230" s="79">
        <f t="shared" si="57"/>
        <v>5</v>
      </c>
      <c r="H230" s="80">
        <f t="shared" si="58"/>
        <v>2.5</v>
      </c>
      <c r="I230" s="81">
        <f t="shared" si="59"/>
        <v>0</v>
      </c>
      <c r="J230" s="82"/>
      <c r="K230" s="83"/>
      <c r="L230" s="84">
        <f t="shared" si="60"/>
        <v>50</v>
      </c>
      <c r="M230" s="65"/>
      <c r="N230" s="65"/>
      <c r="O230" s="65"/>
      <c r="P230" s="65"/>
      <c r="Q230" s="65"/>
      <c r="R230" s="65"/>
      <c r="S230" s="65"/>
      <c r="T230" s="65"/>
      <c r="U230" s="65"/>
      <c r="V230" s="65"/>
      <c r="W230" s="65"/>
      <c r="X230" s="65"/>
      <c r="Y230" s="65"/>
      <c r="Z230" s="66"/>
      <c r="AA230" s="66"/>
      <c r="AB230" s="66"/>
    </row>
    <row r="231" hidden="1" outlineLevel="1">
      <c r="A231" s="71">
        <v>46589.0</v>
      </c>
      <c r="B231" s="100">
        <f t="shared" si="55"/>
        <v>0</v>
      </c>
      <c r="C231" s="75">
        <v>0.1</v>
      </c>
      <c r="D231" s="76">
        <v>0.05</v>
      </c>
      <c r="E231" s="77">
        <v>3.0</v>
      </c>
      <c r="F231" s="78" t="str">
        <f t="shared" si="56"/>
        <v>#DIV/0!</v>
      </c>
      <c r="G231" s="79">
        <f t="shared" si="57"/>
        <v>5</v>
      </c>
      <c r="H231" s="80">
        <f t="shared" si="58"/>
        <v>2.5</v>
      </c>
      <c r="I231" s="81">
        <f t="shared" si="59"/>
        <v>0</v>
      </c>
      <c r="J231" s="82"/>
      <c r="K231" s="83"/>
      <c r="L231" s="84">
        <f t="shared" si="60"/>
        <v>50</v>
      </c>
      <c r="M231" s="65"/>
      <c r="N231" s="65"/>
      <c r="O231" s="65"/>
      <c r="P231" s="65"/>
      <c r="Q231" s="65"/>
      <c r="R231" s="65"/>
      <c r="S231" s="65"/>
      <c r="T231" s="65"/>
      <c r="U231" s="65"/>
      <c r="V231" s="65"/>
      <c r="W231" s="65"/>
      <c r="X231" s="65"/>
      <c r="Y231" s="65"/>
      <c r="Z231" s="66"/>
      <c r="AA231" s="66"/>
      <c r="AB231" s="66"/>
    </row>
    <row r="232" hidden="1" outlineLevel="1">
      <c r="A232" s="71">
        <v>46590.0</v>
      </c>
      <c r="B232" s="100">
        <f t="shared" si="55"/>
        <v>0</v>
      </c>
      <c r="C232" s="75">
        <v>0.1</v>
      </c>
      <c r="D232" s="76">
        <v>0.05</v>
      </c>
      <c r="E232" s="77">
        <v>3.0</v>
      </c>
      <c r="F232" s="78" t="str">
        <f t="shared" si="56"/>
        <v>#DIV/0!</v>
      </c>
      <c r="G232" s="79">
        <f t="shared" si="57"/>
        <v>5</v>
      </c>
      <c r="H232" s="80">
        <f t="shared" si="58"/>
        <v>2.5</v>
      </c>
      <c r="I232" s="81">
        <f t="shared" si="59"/>
        <v>0</v>
      </c>
      <c r="J232" s="82"/>
      <c r="K232" s="83"/>
      <c r="L232" s="84">
        <f t="shared" si="60"/>
        <v>50</v>
      </c>
      <c r="M232" s="65"/>
      <c r="N232" s="65"/>
      <c r="O232" s="65"/>
      <c r="P232" s="65"/>
      <c r="Q232" s="65"/>
      <c r="R232" s="65"/>
      <c r="S232" s="65"/>
      <c r="T232" s="65"/>
      <c r="U232" s="65"/>
      <c r="V232" s="65"/>
      <c r="W232" s="65"/>
      <c r="X232" s="65"/>
      <c r="Y232" s="65"/>
      <c r="Z232" s="66"/>
      <c r="AA232" s="66"/>
      <c r="AB232" s="66"/>
    </row>
    <row r="233" hidden="1" outlineLevel="1">
      <c r="A233" s="71">
        <v>46591.0</v>
      </c>
      <c r="B233" s="100">
        <f t="shared" si="55"/>
        <v>0</v>
      </c>
      <c r="C233" s="75">
        <v>0.1</v>
      </c>
      <c r="D233" s="76">
        <v>0.05</v>
      </c>
      <c r="E233" s="77">
        <v>3.0</v>
      </c>
      <c r="F233" s="78" t="str">
        <f t="shared" si="56"/>
        <v>#DIV/0!</v>
      </c>
      <c r="G233" s="79">
        <f t="shared" si="57"/>
        <v>5</v>
      </c>
      <c r="H233" s="80">
        <f t="shared" si="58"/>
        <v>2.5</v>
      </c>
      <c r="I233" s="81">
        <f t="shared" si="59"/>
        <v>0</v>
      </c>
      <c r="J233" s="82"/>
      <c r="K233" s="83"/>
      <c r="L233" s="84">
        <f t="shared" si="60"/>
        <v>50</v>
      </c>
      <c r="M233" s="65"/>
      <c r="N233" s="65"/>
      <c r="O233" s="65"/>
      <c r="P233" s="65"/>
      <c r="Q233" s="65"/>
      <c r="R233" s="65"/>
      <c r="S233" s="65"/>
      <c r="T233" s="65"/>
      <c r="U233" s="65"/>
      <c r="V233" s="65"/>
      <c r="W233" s="65"/>
      <c r="X233" s="65"/>
      <c r="Y233" s="65"/>
      <c r="Z233" s="66"/>
      <c r="AA233" s="66"/>
      <c r="AB233" s="66"/>
    </row>
    <row r="234" hidden="1" outlineLevel="1">
      <c r="A234" s="71">
        <v>46592.0</v>
      </c>
      <c r="B234" s="100">
        <f t="shared" si="55"/>
        <v>0</v>
      </c>
      <c r="C234" s="75">
        <v>0.1</v>
      </c>
      <c r="D234" s="76">
        <v>0.05</v>
      </c>
      <c r="E234" s="77">
        <v>3.0</v>
      </c>
      <c r="F234" s="78" t="str">
        <f t="shared" si="56"/>
        <v>#DIV/0!</v>
      </c>
      <c r="G234" s="79">
        <f t="shared" si="57"/>
        <v>5</v>
      </c>
      <c r="H234" s="80">
        <f t="shared" si="58"/>
        <v>2.5</v>
      </c>
      <c r="I234" s="81">
        <f t="shared" si="59"/>
        <v>0</v>
      </c>
      <c r="J234" s="82"/>
      <c r="K234" s="83"/>
      <c r="L234" s="84">
        <f t="shared" si="60"/>
        <v>50</v>
      </c>
      <c r="M234" s="65"/>
      <c r="N234" s="65"/>
      <c r="O234" s="65"/>
      <c r="P234" s="65"/>
      <c r="Q234" s="65"/>
      <c r="R234" s="65"/>
      <c r="S234" s="65"/>
      <c r="T234" s="65"/>
      <c r="U234" s="65"/>
      <c r="V234" s="65"/>
      <c r="W234" s="65"/>
      <c r="X234" s="65"/>
      <c r="Y234" s="65"/>
      <c r="Z234" s="66"/>
      <c r="AA234" s="66"/>
      <c r="AB234" s="66"/>
    </row>
    <row r="235" hidden="1" outlineLevel="1">
      <c r="A235" s="71">
        <v>46593.0</v>
      </c>
      <c r="B235" s="100">
        <f t="shared" si="55"/>
        <v>0</v>
      </c>
      <c r="C235" s="75">
        <v>0.1</v>
      </c>
      <c r="D235" s="76">
        <v>0.05</v>
      </c>
      <c r="E235" s="77">
        <v>3.0</v>
      </c>
      <c r="F235" s="78" t="str">
        <f t="shared" si="56"/>
        <v>#DIV/0!</v>
      </c>
      <c r="G235" s="79">
        <f t="shared" si="57"/>
        <v>5</v>
      </c>
      <c r="H235" s="80">
        <f t="shared" si="58"/>
        <v>2.5</v>
      </c>
      <c r="I235" s="81">
        <f t="shared" si="59"/>
        <v>0</v>
      </c>
      <c r="J235" s="82"/>
      <c r="K235" s="83"/>
      <c r="L235" s="84">
        <f t="shared" si="60"/>
        <v>50</v>
      </c>
      <c r="M235" s="65"/>
      <c r="N235" s="65"/>
      <c r="O235" s="65"/>
      <c r="P235" s="65"/>
      <c r="Q235" s="65"/>
      <c r="R235" s="65"/>
      <c r="S235" s="65"/>
      <c r="T235" s="65"/>
      <c r="U235" s="65"/>
      <c r="V235" s="65"/>
      <c r="W235" s="65"/>
      <c r="X235" s="65"/>
      <c r="Y235" s="65"/>
      <c r="Z235" s="66"/>
      <c r="AA235" s="66"/>
      <c r="AB235" s="66"/>
    </row>
    <row r="236" hidden="1" outlineLevel="1">
      <c r="A236" s="71">
        <v>46594.0</v>
      </c>
      <c r="B236" s="100">
        <f t="shared" si="55"/>
        <v>0</v>
      </c>
      <c r="C236" s="75">
        <v>0.1</v>
      </c>
      <c r="D236" s="76">
        <v>0.05</v>
      </c>
      <c r="E236" s="77">
        <v>3.0</v>
      </c>
      <c r="F236" s="78" t="str">
        <f t="shared" si="56"/>
        <v>#DIV/0!</v>
      </c>
      <c r="G236" s="79">
        <f t="shared" si="57"/>
        <v>5</v>
      </c>
      <c r="H236" s="80">
        <f t="shared" si="58"/>
        <v>2.5</v>
      </c>
      <c r="I236" s="81">
        <f t="shared" si="59"/>
        <v>0</v>
      </c>
      <c r="J236" s="82"/>
      <c r="K236" s="83"/>
      <c r="L236" s="84">
        <f t="shared" si="60"/>
        <v>50</v>
      </c>
      <c r="M236" s="65"/>
      <c r="N236" s="65"/>
      <c r="O236" s="65"/>
      <c r="P236" s="65"/>
      <c r="Q236" s="65"/>
      <c r="R236" s="65"/>
      <c r="S236" s="65"/>
      <c r="T236" s="65"/>
      <c r="U236" s="65"/>
      <c r="V236" s="65"/>
      <c r="W236" s="65"/>
      <c r="X236" s="65"/>
      <c r="Y236" s="65"/>
      <c r="Z236" s="66"/>
      <c r="AA236" s="66"/>
      <c r="AB236" s="66"/>
    </row>
    <row r="237" hidden="1" outlineLevel="1">
      <c r="A237" s="71">
        <v>46595.0</v>
      </c>
      <c r="B237" s="100">
        <f t="shared" si="55"/>
        <v>0</v>
      </c>
      <c r="C237" s="75">
        <v>0.1</v>
      </c>
      <c r="D237" s="76">
        <v>0.05</v>
      </c>
      <c r="E237" s="77">
        <v>3.0</v>
      </c>
      <c r="F237" s="78" t="str">
        <f t="shared" si="56"/>
        <v>#DIV/0!</v>
      </c>
      <c r="G237" s="79">
        <f t="shared" si="57"/>
        <v>5</v>
      </c>
      <c r="H237" s="80">
        <f t="shared" si="58"/>
        <v>2.5</v>
      </c>
      <c r="I237" s="81">
        <f t="shared" si="59"/>
        <v>0</v>
      </c>
      <c r="J237" s="82"/>
      <c r="K237" s="83"/>
      <c r="L237" s="84">
        <f t="shared" si="60"/>
        <v>50</v>
      </c>
      <c r="M237" s="65"/>
      <c r="N237" s="65"/>
      <c r="O237" s="65"/>
      <c r="P237" s="65"/>
      <c r="Q237" s="65"/>
      <c r="R237" s="65"/>
      <c r="S237" s="65"/>
      <c r="T237" s="65"/>
      <c r="U237" s="65"/>
      <c r="V237" s="65"/>
      <c r="W237" s="65"/>
      <c r="X237" s="65"/>
      <c r="Y237" s="65"/>
      <c r="Z237" s="66"/>
      <c r="AA237" s="66"/>
      <c r="AB237" s="66"/>
    </row>
    <row r="238" hidden="1" outlineLevel="1">
      <c r="A238" s="71">
        <v>46596.0</v>
      </c>
      <c r="B238" s="100">
        <f t="shared" si="55"/>
        <v>0</v>
      </c>
      <c r="C238" s="75">
        <v>0.1</v>
      </c>
      <c r="D238" s="76">
        <v>0.05</v>
      </c>
      <c r="E238" s="77">
        <v>3.0</v>
      </c>
      <c r="F238" s="78" t="str">
        <f t="shared" si="56"/>
        <v>#DIV/0!</v>
      </c>
      <c r="G238" s="79">
        <f t="shared" si="57"/>
        <v>5</v>
      </c>
      <c r="H238" s="80">
        <f t="shared" si="58"/>
        <v>2.5</v>
      </c>
      <c r="I238" s="81">
        <f t="shared" si="59"/>
        <v>0</v>
      </c>
      <c r="J238" s="82"/>
      <c r="K238" s="83"/>
      <c r="L238" s="84">
        <f t="shared" si="60"/>
        <v>50</v>
      </c>
      <c r="M238" s="65"/>
      <c r="N238" s="65"/>
      <c r="O238" s="65"/>
      <c r="P238" s="65"/>
      <c r="Q238" s="65"/>
      <c r="R238" s="65"/>
      <c r="S238" s="65"/>
      <c r="T238" s="65"/>
      <c r="U238" s="65"/>
      <c r="V238" s="65"/>
      <c r="W238" s="65"/>
      <c r="X238" s="65"/>
      <c r="Y238" s="65"/>
      <c r="Z238" s="66"/>
      <c r="AA238" s="66"/>
      <c r="AB238" s="66"/>
    </row>
    <row r="239" hidden="1" outlineLevel="1">
      <c r="A239" s="71">
        <v>46597.0</v>
      </c>
      <c r="B239" s="100">
        <f t="shared" si="55"/>
        <v>0</v>
      </c>
      <c r="C239" s="75">
        <v>0.1</v>
      </c>
      <c r="D239" s="76">
        <v>0.05</v>
      </c>
      <c r="E239" s="77">
        <v>3.0</v>
      </c>
      <c r="F239" s="78" t="str">
        <f t="shared" si="56"/>
        <v>#DIV/0!</v>
      </c>
      <c r="G239" s="79">
        <f t="shared" si="57"/>
        <v>5</v>
      </c>
      <c r="H239" s="80">
        <f t="shared" si="58"/>
        <v>2.5</v>
      </c>
      <c r="I239" s="81">
        <f t="shared" si="59"/>
        <v>0</v>
      </c>
      <c r="J239" s="82"/>
      <c r="K239" s="83"/>
      <c r="L239" s="84">
        <f t="shared" si="60"/>
        <v>50</v>
      </c>
      <c r="M239" s="65"/>
      <c r="N239" s="65"/>
      <c r="O239" s="65"/>
      <c r="P239" s="65"/>
      <c r="Q239" s="65"/>
      <c r="R239" s="65"/>
      <c r="S239" s="65"/>
      <c r="T239" s="65"/>
      <c r="U239" s="65"/>
      <c r="V239" s="65"/>
      <c r="W239" s="65"/>
      <c r="X239" s="65"/>
      <c r="Y239" s="65"/>
      <c r="Z239" s="66"/>
      <c r="AA239" s="66"/>
      <c r="AB239" s="66"/>
    </row>
    <row r="240" hidden="1" outlineLevel="1">
      <c r="A240" s="71">
        <v>46598.0</v>
      </c>
      <c r="B240" s="100">
        <f t="shared" si="55"/>
        <v>0</v>
      </c>
      <c r="C240" s="75">
        <v>0.1</v>
      </c>
      <c r="D240" s="76">
        <v>0.05</v>
      </c>
      <c r="E240" s="77">
        <v>3.0</v>
      </c>
      <c r="F240" s="78" t="str">
        <f t="shared" si="56"/>
        <v>#DIV/0!</v>
      </c>
      <c r="G240" s="79">
        <f t="shared" si="57"/>
        <v>5</v>
      </c>
      <c r="H240" s="80">
        <f t="shared" si="58"/>
        <v>2.5</v>
      </c>
      <c r="I240" s="81">
        <f t="shared" si="59"/>
        <v>0</v>
      </c>
      <c r="J240" s="82"/>
      <c r="K240" s="83"/>
      <c r="L240" s="84">
        <f t="shared" si="60"/>
        <v>50</v>
      </c>
      <c r="M240" s="65"/>
      <c r="N240" s="65"/>
      <c r="O240" s="65"/>
      <c r="P240" s="65"/>
      <c r="Q240" s="65"/>
      <c r="R240" s="65"/>
      <c r="S240" s="65"/>
      <c r="T240" s="65"/>
      <c r="U240" s="65"/>
      <c r="V240" s="65"/>
      <c r="W240" s="65"/>
      <c r="X240" s="65"/>
      <c r="Y240" s="65"/>
      <c r="Z240" s="66"/>
      <c r="AA240" s="66"/>
      <c r="AB240" s="66"/>
    </row>
    <row r="241" hidden="1" outlineLevel="1">
      <c r="A241" s="71">
        <v>46599.0</v>
      </c>
      <c r="B241" s="100">
        <f t="shared" si="55"/>
        <v>0</v>
      </c>
      <c r="C241" s="75">
        <v>0.1</v>
      </c>
      <c r="D241" s="76">
        <v>0.05</v>
      </c>
      <c r="E241" s="77">
        <v>3.0</v>
      </c>
      <c r="F241" s="78" t="str">
        <f t="shared" si="56"/>
        <v>#DIV/0!</v>
      </c>
      <c r="G241" s="79">
        <f t="shared" si="57"/>
        <v>5</v>
      </c>
      <c r="H241" s="80">
        <f t="shared" si="58"/>
        <v>2.5</v>
      </c>
      <c r="I241" s="81">
        <f t="shared" si="59"/>
        <v>0</v>
      </c>
      <c r="J241" s="82"/>
      <c r="K241" s="83"/>
      <c r="L241" s="84">
        <f t="shared" si="60"/>
        <v>50</v>
      </c>
      <c r="M241" s="65"/>
      <c r="N241" s="65"/>
      <c r="O241" s="65"/>
      <c r="P241" s="65"/>
      <c r="Q241" s="65"/>
      <c r="R241" s="65"/>
      <c r="S241" s="65"/>
      <c r="T241" s="65"/>
      <c r="U241" s="65"/>
      <c r="V241" s="65"/>
      <c r="W241" s="65"/>
      <c r="X241" s="65"/>
      <c r="Y241" s="65"/>
      <c r="Z241" s="66"/>
      <c r="AA241" s="66"/>
      <c r="AB241" s="66"/>
    </row>
    <row r="242" hidden="1" outlineLevel="1">
      <c r="A242" s="85" t="s">
        <v>41</v>
      </c>
      <c r="C242" s="86">
        <f>SUM(C211:C241)</f>
        <v>3.1</v>
      </c>
      <c r="D242" s="87"/>
      <c r="E242" s="87"/>
      <c r="F242" s="87"/>
      <c r="G242" s="87"/>
      <c r="H242" s="87"/>
      <c r="I242" s="87" t="str">
        <f t="shared" ref="I242:K242" si="61">SUM(I211:I241)</f>
        <v>#DIV/0!</v>
      </c>
      <c r="J242" s="89">
        <f t="shared" si="61"/>
        <v>0</v>
      </c>
      <c r="K242" s="87">
        <f t="shared" si="61"/>
        <v>0</v>
      </c>
      <c r="L242" s="89">
        <f>L241</f>
        <v>50</v>
      </c>
      <c r="M242" s="65"/>
      <c r="N242" s="65"/>
      <c r="O242" s="65"/>
      <c r="P242" s="65"/>
      <c r="Q242" s="65"/>
      <c r="R242" s="65"/>
      <c r="S242" s="65"/>
      <c r="T242" s="65"/>
      <c r="U242" s="65"/>
      <c r="V242" s="65"/>
      <c r="W242" s="65"/>
      <c r="X242" s="65"/>
      <c r="Y242" s="65"/>
      <c r="Z242" s="66"/>
      <c r="AA242" s="66"/>
      <c r="AB242" s="66"/>
    </row>
    <row r="243">
      <c r="A243" s="95"/>
      <c r="B243" s="92"/>
      <c r="C243" s="92"/>
      <c r="D243" s="92"/>
      <c r="E243" s="92"/>
      <c r="F243" s="92"/>
      <c r="G243" s="92"/>
      <c r="H243" s="92"/>
      <c r="I243" s="92"/>
      <c r="J243" s="92"/>
      <c r="K243" s="94">
        <f>SUM(K211:K241)</f>
        <v>0</v>
      </c>
      <c r="L243" s="92"/>
      <c r="M243" s="65"/>
      <c r="N243" s="65"/>
      <c r="O243" s="65"/>
      <c r="P243" s="65"/>
      <c r="Q243" s="65"/>
      <c r="R243" s="65"/>
      <c r="S243" s="65"/>
      <c r="T243" s="65"/>
      <c r="U243" s="65"/>
      <c r="V243" s="65"/>
      <c r="W243" s="65"/>
      <c r="X243" s="65"/>
      <c r="Y243" s="65"/>
      <c r="Z243" s="66"/>
      <c r="AA243" s="66"/>
      <c r="AB243" s="66"/>
    </row>
    <row r="244" collapsed="1">
      <c r="A244" s="57" t="s">
        <v>49</v>
      </c>
      <c r="M244" s="65"/>
      <c r="N244" s="65"/>
      <c r="O244" s="65"/>
      <c r="P244" s="65"/>
      <c r="Q244" s="65"/>
      <c r="R244" s="65"/>
      <c r="S244" s="65"/>
      <c r="T244" s="65"/>
      <c r="U244" s="65"/>
      <c r="V244" s="65"/>
      <c r="W244" s="65"/>
      <c r="X244" s="65"/>
      <c r="Y244" s="65"/>
      <c r="Z244" s="66"/>
      <c r="AA244" s="66"/>
      <c r="AB244" s="66"/>
    </row>
    <row r="245" hidden="1" outlineLevel="1">
      <c r="A245" s="71" t="s">
        <v>29</v>
      </c>
      <c r="B245" s="57" t="s">
        <v>30</v>
      </c>
      <c r="C245" s="57" t="s">
        <v>31</v>
      </c>
      <c r="D245" s="72" t="s">
        <v>32</v>
      </c>
      <c r="E245" s="72" t="s">
        <v>33</v>
      </c>
      <c r="F245" s="72" t="s">
        <v>34</v>
      </c>
      <c r="G245" s="73" t="s">
        <v>35</v>
      </c>
      <c r="H245" s="72" t="s">
        <v>36</v>
      </c>
      <c r="I245" s="57" t="s">
        <v>37</v>
      </c>
      <c r="J245" s="74" t="s">
        <v>38</v>
      </c>
      <c r="K245" s="57" t="s">
        <v>39</v>
      </c>
      <c r="L245" s="57" t="s">
        <v>40</v>
      </c>
      <c r="M245" s="65"/>
      <c r="N245" s="65"/>
      <c r="O245" s="65"/>
      <c r="P245" s="65"/>
      <c r="Q245" s="65"/>
      <c r="R245" s="65"/>
      <c r="S245" s="65"/>
      <c r="T245" s="65"/>
      <c r="U245" s="65"/>
      <c r="V245" s="65"/>
      <c r="W245" s="65"/>
      <c r="X245" s="65"/>
      <c r="Y245" s="65"/>
      <c r="Z245" s="66"/>
      <c r="AA245" s="66"/>
      <c r="AB245" s="66"/>
    </row>
    <row r="246" hidden="1" outlineLevel="1">
      <c r="A246" s="71">
        <v>46600.0</v>
      </c>
      <c r="B246" s="100">
        <f t="shared" ref="B246:B276" si="62">ROUND(AVERAGE((H246/1000)/E246), 2)</f>
        <v>0</v>
      </c>
      <c r="C246" s="75">
        <v>0.1</v>
      </c>
      <c r="D246" s="76">
        <v>0.05</v>
      </c>
      <c r="E246" s="77">
        <v>3.0</v>
      </c>
      <c r="F246" s="78" t="str">
        <f t="shared" ref="F246:F276" si="63">H246/B246</f>
        <v>#DIV/0!</v>
      </c>
      <c r="G246" s="79">
        <f>L242*C246</f>
        <v>5</v>
      </c>
      <c r="H246" s="80">
        <f>L242*D246</f>
        <v>2.5</v>
      </c>
      <c r="I246" s="81" t="str">
        <f>(J246/B241)*100</f>
        <v>#DIV/0!</v>
      </c>
      <c r="J246" s="82"/>
      <c r="K246" s="83"/>
      <c r="L246" s="84">
        <f>(L242+J246)-K246</f>
        <v>50</v>
      </c>
      <c r="M246" s="65"/>
      <c r="N246" s="65"/>
      <c r="O246" s="65"/>
      <c r="P246" s="65"/>
      <c r="Q246" s="65"/>
      <c r="R246" s="65"/>
      <c r="S246" s="65"/>
      <c r="T246" s="65"/>
      <c r="U246" s="65"/>
      <c r="V246" s="65"/>
      <c r="W246" s="65"/>
      <c r="X246" s="65"/>
      <c r="Y246" s="65"/>
      <c r="Z246" s="66"/>
      <c r="AA246" s="66"/>
      <c r="AB246" s="66"/>
    </row>
    <row r="247" hidden="1" outlineLevel="1">
      <c r="A247" s="71">
        <v>46601.0</v>
      </c>
      <c r="B247" s="100">
        <f t="shared" si="62"/>
        <v>0</v>
      </c>
      <c r="C247" s="75">
        <v>0.1</v>
      </c>
      <c r="D247" s="76">
        <v>0.05</v>
      </c>
      <c r="E247" s="77">
        <v>3.0</v>
      </c>
      <c r="F247" s="78" t="str">
        <f t="shared" si="63"/>
        <v>#DIV/0!</v>
      </c>
      <c r="G247" s="79">
        <f t="shared" ref="G247:G276" si="64">L246*C247</f>
        <v>5</v>
      </c>
      <c r="H247" s="80">
        <f t="shared" ref="H247:H276" si="65">L246*D247</f>
        <v>2.5</v>
      </c>
      <c r="I247" s="81">
        <f t="shared" ref="I247:I276" si="66">(J247/L246)*100</f>
        <v>0</v>
      </c>
      <c r="J247" s="82"/>
      <c r="K247" s="83"/>
      <c r="L247" s="84">
        <f t="shared" ref="L247:L276" si="67">(L246+J247)-K247</f>
        <v>50</v>
      </c>
      <c r="M247" s="65"/>
      <c r="N247" s="65"/>
      <c r="O247" s="65"/>
      <c r="P247" s="65"/>
      <c r="Q247" s="65"/>
      <c r="R247" s="65"/>
      <c r="S247" s="65"/>
      <c r="T247" s="65"/>
      <c r="U247" s="65"/>
      <c r="V247" s="65"/>
      <c r="W247" s="65"/>
      <c r="X247" s="65"/>
      <c r="Y247" s="65"/>
      <c r="Z247" s="66"/>
      <c r="AA247" s="66"/>
      <c r="AB247" s="66"/>
    </row>
    <row r="248" hidden="1" outlineLevel="1">
      <c r="A248" s="71">
        <v>46602.0</v>
      </c>
      <c r="B248" s="100">
        <f t="shared" si="62"/>
        <v>0</v>
      </c>
      <c r="C248" s="75">
        <v>0.1</v>
      </c>
      <c r="D248" s="76">
        <v>0.05</v>
      </c>
      <c r="E248" s="77">
        <v>3.0</v>
      </c>
      <c r="F248" s="78" t="str">
        <f t="shared" si="63"/>
        <v>#DIV/0!</v>
      </c>
      <c r="G248" s="79">
        <f t="shared" si="64"/>
        <v>5</v>
      </c>
      <c r="H248" s="80">
        <f t="shared" si="65"/>
        <v>2.5</v>
      </c>
      <c r="I248" s="81">
        <f t="shared" si="66"/>
        <v>0</v>
      </c>
      <c r="J248" s="82"/>
      <c r="K248" s="83"/>
      <c r="L248" s="84">
        <f t="shared" si="67"/>
        <v>50</v>
      </c>
      <c r="M248" s="65"/>
      <c r="N248" s="65"/>
      <c r="O248" s="65"/>
      <c r="P248" s="65"/>
      <c r="Q248" s="65"/>
      <c r="R248" s="65"/>
      <c r="S248" s="65"/>
      <c r="T248" s="65"/>
      <c r="U248" s="65"/>
      <c r="V248" s="65"/>
      <c r="W248" s="65"/>
      <c r="X248" s="65"/>
      <c r="Y248" s="65"/>
      <c r="Z248" s="66"/>
      <c r="AA248" s="66"/>
      <c r="AB248" s="66"/>
    </row>
    <row r="249" hidden="1" outlineLevel="1">
      <c r="A249" s="71">
        <v>46603.0</v>
      </c>
      <c r="B249" s="100">
        <f t="shared" si="62"/>
        <v>0</v>
      </c>
      <c r="C249" s="75">
        <v>0.1</v>
      </c>
      <c r="D249" s="76">
        <v>0.05</v>
      </c>
      <c r="E249" s="77">
        <v>3.0</v>
      </c>
      <c r="F249" s="78" t="str">
        <f t="shared" si="63"/>
        <v>#DIV/0!</v>
      </c>
      <c r="G249" s="79">
        <f t="shared" si="64"/>
        <v>5</v>
      </c>
      <c r="H249" s="80">
        <f t="shared" si="65"/>
        <v>2.5</v>
      </c>
      <c r="I249" s="81">
        <f t="shared" si="66"/>
        <v>0</v>
      </c>
      <c r="J249" s="82"/>
      <c r="K249" s="83"/>
      <c r="L249" s="84">
        <f t="shared" si="67"/>
        <v>50</v>
      </c>
      <c r="M249" s="65"/>
      <c r="N249" s="65"/>
      <c r="O249" s="65"/>
      <c r="P249" s="65"/>
      <c r="Q249" s="65"/>
      <c r="R249" s="65"/>
      <c r="S249" s="65"/>
      <c r="T249" s="65"/>
      <c r="U249" s="65"/>
      <c r="V249" s="65"/>
      <c r="W249" s="65"/>
      <c r="X249" s="65"/>
      <c r="Y249" s="65"/>
      <c r="Z249" s="66"/>
      <c r="AA249" s="66"/>
      <c r="AB249" s="66"/>
    </row>
    <row r="250" hidden="1" outlineLevel="1">
      <c r="A250" s="71">
        <v>46604.0</v>
      </c>
      <c r="B250" s="100">
        <f t="shared" si="62"/>
        <v>0</v>
      </c>
      <c r="C250" s="75">
        <v>0.1</v>
      </c>
      <c r="D250" s="76">
        <v>0.05</v>
      </c>
      <c r="E250" s="77">
        <v>3.0</v>
      </c>
      <c r="F250" s="78" t="str">
        <f t="shared" si="63"/>
        <v>#DIV/0!</v>
      </c>
      <c r="G250" s="79">
        <f t="shared" si="64"/>
        <v>5</v>
      </c>
      <c r="H250" s="80">
        <f t="shared" si="65"/>
        <v>2.5</v>
      </c>
      <c r="I250" s="81">
        <f t="shared" si="66"/>
        <v>0</v>
      </c>
      <c r="J250" s="82"/>
      <c r="K250" s="83"/>
      <c r="L250" s="84">
        <f t="shared" si="67"/>
        <v>50</v>
      </c>
      <c r="M250" s="65"/>
      <c r="N250" s="65"/>
      <c r="O250" s="65"/>
      <c r="P250" s="65"/>
      <c r="Q250" s="65"/>
      <c r="R250" s="65"/>
      <c r="S250" s="65"/>
      <c r="T250" s="65"/>
      <c r="U250" s="65"/>
      <c r="V250" s="65"/>
      <c r="W250" s="65"/>
      <c r="X250" s="65"/>
      <c r="Y250" s="65"/>
      <c r="Z250" s="66"/>
      <c r="AA250" s="66"/>
      <c r="AB250" s="66"/>
    </row>
    <row r="251" hidden="1" outlineLevel="1">
      <c r="A251" s="71">
        <v>46605.0</v>
      </c>
      <c r="B251" s="100">
        <f t="shared" si="62"/>
        <v>0</v>
      </c>
      <c r="C251" s="75">
        <v>0.1</v>
      </c>
      <c r="D251" s="76">
        <v>0.05</v>
      </c>
      <c r="E251" s="77">
        <v>3.0</v>
      </c>
      <c r="F251" s="78" t="str">
        <f t="shared" si="63"/>
        <v>#DIV/0!</v>
      </c>
      <c r="G251" s="79">
        <f t="shared" si="64"/>
        <v>5</v>
      </c>
      <c r="H251" s="80">
        <f t="shared" si="65"/>
        <v>2.5</v>
      </c>
      <c r="I251" s="81">
        <f t="shared" si="66"/>
        <v>0</v>
      </c>
      <c r="J251" s="82"/>
      <c r="K251" s="83"/>
      <c r="L251" s="84">
        <f t="shared" si="67"/>
        <v>50</v>
      </c>
      <c r="M251" s="65"/>
      <c r="N251" s="65"/>
      <c r="O251" s="65"/>
      <c r="P251" s="65"/>
      <c r="Q251" s="65"/>
      <c r="R251" s="65"/>
      <c r="S251" s="65"/>
      <c r="T251" s="65"/>
      <c r="U251" s="65"/>
      <c r="V251" s="65"/>
      <c r="W251" s="65"/>
      <c r="X251" s="65"/>
      <c r="Y251" s="65"/>
      <c r="Z251" s="66"/>
      <c r="AA251" s="66"/>
      <c r="AB251" s="66"/>
    </row>
    <row r="252" hidden="1" outlineLevel="1">
      <c r="A252" s="71">
        <v>46606.0</v>
      </c>
      <c r="B252" s="100">
        <f t="shared" si="62"/>
        <v>0</v>
      </c>
      <c r="C252" s="75">
        <v>0.1</v>
      </c>
      <c r="D252" s="76">
        <v>0.05</v>
      </c>
      <c r="E252" s="77">
        <v>3.0</v>
      </c>
      <c r="F252" s="78" t="str">
        <f t="shared" si="63"/>
        <v>#DIV/0!</v>
      </c>
      <c r="G252" s="79">
        <f t="shared" si="64"/>
        <v>5</v>
      </c>
      <c r="H252" s="80">
        <f t="shared" si="65"/>
        <v>2.5</v>
      </c>
      <c r="I252" s="81">
        <f t="shared" si="66"/>
        <v>0</v>
      </c>
      <c r="J252" s="82"/>
      <c r="K252" s="83"/>
      <c r="L252" s="84">
        <f t="shared" si="67"/>
        <v>50</v>
      </c>
      <c r="M252" s="65"/>
      <c r="N252" s="65"/>
      <c r="O252" s="65"/>
      <c r="P252" s="65"/>
      <c r="Q252" s="65"/>
      <c r="R252" s="65"/>
      <c r="S252" s="65"/>
      <c r="T252" s="65"/>
      <c r="U252" s="65"/>
      <c r="V252" s="65"/>
      <c r="W252" s="65"/>
      <c r="X252" s="65"/>
      <c r="Y252" s="65"/>
      <c r="Z252" s="66"/>
      <c r="AA252" s="66"/>
      <c r="AB252" s="66"/>
    </row>
    <row r="253" hidden="1" outlineLevel="1">
      <c r="A253" s="71">
        <v>46607.0</v>
      </c>
      <c r="B253" s="100">
        <f t="shared" si="62"/>
        <v>0</v>
      </c>
      <c r="C253" s="75">
        <v>0.1</v>
      </c>
      <c r="D253" s="76">
        <v>0.05</v>
      </c>
      <c r="E253" s="77">
        <v>3.0</v>
      </c>
      <c r="F253" s="78" t="str">
        <f t="shared" si="63"/>
        <v>#DIV/0!</v>
      </c>
      <c r="G253" s="79">
        <f t="shared" si="64"/>
        <v>5</v>
      </c>
      <c r="H253" s="80">
        <f t="shared" si="65"/>
        <v>2.5</v>
      </c>
      <c r="I253" s="81">
        <f t="shared" si="66"/>
        <v>0</v>
      </c>
      <c r="J253" s="82"/>
      <c r="K253" s="83"/>
      <c r="L253" s="84">
        <f t="shared" si="67"/>
        <v>50</v>
      </c>
      <c r="M253" s="65"/>
      <c r="N253" s="65"/>
      <c r="O253" s="65"/>
      <c r="P253" s="65"/>
      <c r="Q253" s="65"/>
      <c r="R253" s="65"/>
      <c r="S253" s="65"/>
      <c r="T253" s="65"/>
      <c r="U253" s="65"/>
      <c r="V253" s="65"/>
      <c r="W253" s="65"/>
      <c r="X253" s="65"/>
      <c r="Y253" s="65"/>
      <c r="Z253" s="66"/>
      <c r="AA253" s="66"/>
      <c r="AB253" s="66"/>
    </row>
    <row r="254" hidden="1" outlineLevel="1">
      <c r="A254" s="71">
        <v>46608.0</v>
      </c>
      <c r="B254" s="100">
        <f t="shared" si="62"/>
        <v>0</v>
      </c>
      <c r="C254" s="75">
        <v>0.1</v>
      </c>
      <c r="D254" s="76">
        <v>0.05</v>
      </c>
      <c r="E254" s="77">
        <v>3.0</v>
      </c>
      <c r="F254" s="78" t="str">
        <f t="shared" si="63"/>
        <v>#DIV/0!</v>
      </c>
      <c r="G254" s="79">
        <f t="shared" si="64"/>
        <v>5</v>
      </c>
      <c r="H254" s="80">
        <f t="shared" si="65"/>
        <v>2.5</v>
      </c>
      <c r="I254" s="81">
        <f t="shared" si="66"/>
        <v>0</v>
      </c>
      <c r="J254" s="82"/>
      <c r="K254" s="83"/>
      <c r="L254" s="84">
        <f t="shared" si="67"/>
        <v>50</v>
      </c>
      <c r="M254" s="65"/>
      <c r="N254" s="65"/>
      <c r="O254" s="65"/>
      <c r="P254" s="65"/>
      <c r="Q254" s="65"/>
      <c r="R254" s="65"/>
      <c r="S254" s="65"/>
      <c r="T254" s="65"/>
      <c r="U254" s="65"/>
      <c r="V254" s="65"/>
      <c r="W254" s="65"/>
      <c r="X254" s="65"/>
      <c r="Y254" s="65"/>
      <c r="Z254" s="66"/>
      <c r="AA254" s="66"/>
      <c r="AB254" s="66"/>
    </row>
    <row r="255" hidden="1" outlineLevel="1">
      <c r="A255" s="71">
        <v>46609.0</v>
      </c>
      <c r="B255" s="100">
        <f t="shared" si="62"/>
        <v>0</v>
      </c>
      <c r="C255" s="75">
        <v>0.1</v>
      </c>
      <c r="D255" s="76">
        <v>0.05</v>
      </c>
      <c r="E255" s="77">
        <v>3.0</v>
      </c>
      <c r="F255" s="78" t="str">
        <f t="shared" si="63"/>
        <v>#DIV/0!</v>
      </c>
      <c r="G255" s="79">
        <f t="shared" si="64"/>
        <v>5</v>
      </c>
      <c r="H255" s="80">
        <f t="shared" si="65"/>
        <v>2.5</v>
      </c>
      <c r="I255" s="81">
        <f t="shared" si="66"/>
        <v>0</v>
      </c>
      <c r="J255" s="82"/>
      <c r="K255" s="83"/>
      <c r="L255" s="84">
        <f t="shared" si="67"/>
        <v>50</v>
      </c>
      <c r="M255" s="65"/>
      <c r="N255" s="65"/>
      <c r="O255" s="65"/>
      <c r="P255" s="65"/>
      <c r="Q255" s="65"/>
      <c r="R255" s="65"/>
      <c r="S255" s="65"/>
      <c r="T255" s="65"/>
      <c r="U255" s="65"/>
      <c r="V255" s="65"/>
      <c r="W255" s="65"/>
      <c r="X255" s="65"/>
      <c r="Y255" s="65"/>
      <c r="Z255" s="66"/>
      <c r="AA255" s="66"/>
      <c r="AB255" s="66"/>
    </row>
    <row r="256" hidden="1" outlineLevel="1">
      <c r="A256" s="71">
        <v>46610.0</v>
      </c>
      <c r="B256" s="100">
        <f t="shared" si="62"/>
        <v>0</v>
      </c>
      <c r="C256" s="75">
        <v>0.1</v>
      </c>
      <c r="D256" s="76">
        <v>0.05</v>
      </c>
      <c r="E256" s="77">
        <v>3.0</v>
      </c>
      <c r="F256" s="78" t="str">
        <f t="shared" si="63"/>
        <v>#DIV/0!</v>
      </c>
      <c r="G256" s="79">
        <f t="shared" si="64"/>
        <v>5</v>
      </c>
      <c r="H256" s="80">
        <f t="shared" si="65"/>
        <v>2.5</v>
      </c>
      <c r="I256" s="81">
        <f t="shared" si="66"/>
        <v>0</v>
      </c>
      <c r="J256" s="82"/>
      <c r="K256" s="83"/>
      <c r="L256" s="84">
        <f t="shared" si="67"/>
        <v>50</v>
      </c>
      <c r="M256" s="65"/>
      <c r="N256" s="65"/>
      <c r="O256" s="65"/>
      <c r="P256" s="65"/>
      <c r="Q256" s="65"/>
      <c r="R256" s="65"/>
      <c r="S256" s="65"/>
      <c r="T256" s="65"/>
      <c r="U256" s="65"/>
      <c r="V256" s="65"/>
      <c r="W256" s="65"/>
      <c r="X256" s="65"/>
      <c r="Y256" s="65"/>
      <c r="Z256" s="66"/>
      <c r="AA256" s="66"/>
      <c r="AB256" s="66"/>
    </row>
    <row r="257" hidden="1" outlineLevel="1">
      <c r="A257" s="71">
        <v>46611.0</v>
      </c>
      <c r="B257" s="100">
        <f t="shared" si="62"/>
        <v>0</v>
      </c>
      <c r="C257" s="75">
        <v>0.1</v>
      </c>
      <c r="D257" s="76">
        <v>0.05</v>
      </c>
      <c r="E257" s="77">
        <v>3.0</v>
      </c>
      <c r="F257" s="78" t="str">
        <f t="shared" si="63"/>
        <v>#DIV/0!</v>
      </c>
      <c r="G257" s="79">
        <f t="shared" si="64"/>
        <v>5</v>
      </c>
      <c r="H257" s="80">
        <f t="shared" si="65"/>
        <v>2.5</v>
      </c>
      <c r="I257" s="81">
        <f t="shared" si="66"/>
        <v>0</v>
      </c>
      <c r="J257" s="82"/>
      <c r="K257" s="83"/>
      <c r="L257" s="84">
        <f t="shared" si="67"/>
        <v>50</v>
      </c>
      <c r="M257" s="65"/>
      <c r="N257" s="65"/>
      <c r="O257" s="65"/>
      <c r="P257" s="65"/>
      <c r="Q257" s="65"/>
      <c r="R257" s="65"/>
      <c r="S257" s="65"/>
      <c r="T257" s="65"/>
      <c r="U257" s="65"/>
      <c r="V257" s="65"/>
      <c r="W257" s="65"/>
      <c r="X257" s="65"/>
      <c r="Y257" s="65"/>
      <c r="Z257" s="66"/>
      <c r="AA257" s="66"/>
      <c r="AB257" s="66"/>
    </row>
    <row r="258" hidden="1" outlineLevel="1">
      <c r="A258" s="71">
        <v>46612.0</v>
      </c>
      <c r="B258" s="100">
        <f t="shared" si="62"/>
        <v>0</v>
      </c>
      <c r="C258" s="75">
        <v>0.1</v>
      </c>
      <c r="D258" s="76">
        <v>0.05</v>
      </c>
      <c r="E258" s="77">
        <v>3.0</v>
      </c>
      <c r="F258" s="78" t="str">
        <f t="shared" si="63"/>
        <v>#DIV/0!</v>
      </c>
      <c r="G258" s="79">
        <f t="shared" si="64"/>
        <v>5</v>
      </c>
      <c r="H258" s="80">
        <f t="shared" si="65"/>
        <v>2.5</v>
      </c>
      <c r="I258" s="81">
        <f t="shared" si="66"/>
        <v>0</v>
      </c>
      <c r="J258" s="82"/>
      <c r="K258" s="83"/>
      <c r="L258" s="84">
        <f t="shared" si="67"/>
        <v>50</v>
      </c>
      <c r="M258" s="65"/>
      <c r="N258" s="65"/>
      <c r="O258" s="65"/>
      <c r="P258" s="65"/>
      <c r="Q258" s="65"/>
      <c r="R258" s="65"/>
      <c r="S258" s="65"/>
      <c r="T258" s="65"/>
      <c r="U258" s="65"/>
      <c r="V258" s="65"/>
      <c r="W258" s="65"/>
      <c r="X258" s="65"/>
      <c r="Y258" s="65"/>
      <c r="Z258" s="66"/>
      <c r="AA258" s="66"/>
      <c r="AB258" s="66"/>
    </row>
    <row r="259" hidden="1" outlineLevel="1">
      <c r="A259" s="71">
        <v>46613.0</v>
      </c>
      <c r="B259" s="100">
        <f t="shared" si="62"/>
        <v>0</v>
      </c>
      <c r="C259" s="75">
        <v>0.1</v>
      </c>
      <c r="D259" s="76">
        <v>0.05</v>
      </c>
      <c r="E259" s="77">
        <v>3.0</v>
      </c>
      <c r="F259" s="78" t="str">
        <f t="shared" si="63"/>
        <v>#DIV/0!</v>
      </c>
      <c r="G259" s="79">
        <f t="shared" si="64"/>
        <v>5</v>
      </c>
      <c r="H259" s="80">
        <f t="shared" si="65"/>
        <v>2.5</v>
      </c>
      <c r="I259" s="81">
        <f t="shared" si="66"/>
        <v>0</v>
      </c>
      <c r="J259" s="82"/>
      <c r="K259" s="83"/>
      <c r="L259" s="84">
        <f t="shared" si="67"/>
        <v>50</v>
      </c>
      <c r="M259" s="65"/>
      <c r="N259" s="65"/>
      <c r="O259" s="65"/>
      <c r="P259" s="65"/>
      <c r="Q259" s="65"/>
      <c r="R259" s="65"/>
      <c r="S259" s="65"/>
      <c r="T259" s="65"/>
      <c r="U259" s="65"/>
      <c r="V259" s="65"/>
      <c r="W259" s="65"/>
      <c r="X259" s="65"/>
      <c r="Y259" s="65"/>
      <c r="Z259" s="66"/>
      <c r="AA259" s="66"/>
      <c r="AB259" s="66"/>
    </row>
    <row r="260" hidden="1" outlineLevel="1">
      <c r="A260" s="71">
        <v>46614.0</v>
      </c>
      <c r="B260" s="100">
        <f t="shared" si="62"/>
        <v>0</v>
      </c>
      <c r="C260" s="75">
        <v>0.1</v>
      </c>
      <c r="D260" s="76">
        <v>0.05</v>
      </c>
      <c r="E260" s="77">
        <v>3.0</v>
      </c>
      <c r="F260" s="78" t="str">
        <f t="shared" si="63"/>
        <v>#DIV/0!</v>
      </c>
      <c r="G260" s="79">
        <f t="shared" si="64"/>
        <v>5</v>
      </c>
      <c r="H260" s="80">
        <f t="shared" si="65"/>
        <v>2.5</v>
      </c>
      <c r="I260" s="81">
        <f t="shared" si="66"/>
        <v>0</v>
      </c>
      <c r="J260" s="82"/>
      <c r="K260" s="83"/>
      <c r="L260" s="84">
        <f t="shared" si="67"/>
        <v>50</v>
      </c>
      <c r="M260" s="65"/>
      <c r="N260" s="65"/>
      <c r="O260" s="65"/>
      <c r="P260" s="65"/>
      <c r="Q260" s="65"/>
      <c r="R260" s="65"/>
      <c r="S260" s="65"/>
      <c r="T260" s="65"/>
      <c r="U260" s="65"/>
      <c r="V260" s="65"/>
      <c r="W260" s="65"/>
      <c r="X260" s="65"/>
      <c r="Y260" s="65"/>
      <c r="Z260" s="66"/>
      <c r="AA260" s="66"/>
      <c r="AB260" s="66"/>
    </row>
    <row r="261" hidden="1" outlineLevel="1">
      <c r="A261" s="71">
        <v>46615.0</v>
      </c>
      <c r="B261" s="100">
        <f t="shared" si="62"/>
        <v>0</v>
      </c>
      <c r="C261" s="75">
        <v>0.1</v>
      </c>
      <c r="D261" s="76">
        <v>0.05</v>
      </c>
      <c r="E261" s="77">
        <v>3.0</v>
      </c>
      <c r="F261" s="78" t="str">
        <f t="shared" si="63"/>
        <v>#DIV/0!</v>
      </c>
      <c r="G261" s="79">
        <f t="shared" si="64"/>
        <v>5</v>
      </c>
      <c r="H261" s="80">
        <f t="shared" si="65"/>
        <v>2.5</v>
      </c>
      <c r="I261" s="81">
        <f t="shared" si="66"/>
        <v>0</v>
      </c>
      <c r="J261" s="82"/>
      <c r="K261" s="83"/>
      <c r="L261" s="84">
        <f t="shared" si="67"/>
        <v>50</v>
      </c>
      <c r="M261" s="65"/>
      <c r="N261" s="65"/>
      <c r="O261" s="65"/>
      <c r="P261" s="65"/>
      <c r="Q261" s="65"/>
      <c r="R261" s="65"/>
      <c r="S261" s="65"/>
      <c r="T261" s="65"/>
      <c r="U261" s="65"/>
      <c r="V261" s="65"/>
      <c r="W261" s="65"/>
      <c r="X261" s="65"/>
      <c r="Y261" s="65"/>
      <c r="Z261" s="66"/>
      <c r="AA261" s="66"/>
      <c r="AB261" s="66"/>
    </row>
    <row r="262" hidden="1" outlineLevel="1">
      <c r="A262" s="71">
        <v>46616.0</v>
      </c>
      <c r="B262" s="100">
        <f t="shared" si="62"/>
        <v>0</v>
      </c>
      <c r="C262" s="75">
        <v>0.1</v>
      </c>
      <c r="D262" s="76">
        <v>0.05</v>
      </c>
      <c r="E262" s="77">
        <v>3.0</v>
      </c>
      <c r="F262" s="78" t="str">
        <f t="shared" si="63"/>
        <v>#DIV/0!</v>
      </c>
      <c r="G262" s="79">
        <f t="shared" si="64"/>
        <v>5</v>
      </c>
      <c r="H262" s="80">
        <f t="shared" si="65"/>
        <v>2.5</v>
      </c>
      <c r="I262" s="81">
        <f t="shared" si="66"/>
        <v>0</v>
      </c>
      <c r="J262" s="82"/>
      <c r="K262" s="83"/>
      <c r="L262" s="84">
        <f t="shared" si="67"/>
        <v>50</v>
      </c>
      <c r="M262" s="65"/>
      <c r="N262" s="65"/>
      <c r="O262" s="65"/>
      <c r="P262" s="65"/>
      <c r="Q262" s="65"/>
      <c r="R262" s="65"/>
      <c r="S262" s="65"/>
      <c r="T262" s="65"/>
      <c r="U262" s="65"/>
      <c r="V262" s="65"/>
      <c r="W262" s="65"/>
      <c r="X262" s="65"/>
      <c r="Y262" s="65"/>
      <c r="Z262" s="66"/>
      <c r="AA262" s="66"/>
      <c r="AB262" s="66"/>
    </row>
    <row r="263" hidden="1" outlineLevel="1">
      <c r="A263" s="71">
        <v>46617.0</v>
      </c>
      <c r="B263" s="100">
        <f t="shared" si="62"/>
        <v>0</v>
      </c>
      <c r="C263" s="75">
        <v>0.1</v>
      </c>
      <c r="D263" s="76">
        <v>0.05</v>
      </c>
      <c r="E263" s="77">
        <v>3.0</v>
      </c>
      <c r="F263" s="78" t="str">
        <f t="shared" si="63"/>
        <v>#DIV/0!</v>
      </c>
      <c r="G263" s="79">
        <f t="shared" si="64"/>
        <v>5</v>
      </c>
      <c r="H263" s="80">
        <f t="shared" si="65"/>
        <v>2.5</v>
      </c>
      <c r="I263" s="81">
        <f t="shared" si="66"/>
        <v>0</v>
      </c>
      <c r="J263" s="82"/>
      <c r="K263" s="83"/>
      <c r="L263" s="84">
        <f t="shared" si="67"/>
        <v>50</v>
      </c>
      <c r="M263" s="65"/>
      <c r="N263" s="65"/>
      <c r="O263" s="65"/>
      <c r="P263" s="65"/>
      <c r="Q263" s="65"/>
      <c r="R263" s="65"/>
      <c r="S263" s="65"/>
      <c r="T263" s="65"/>
      <c r="U263" s="65"/>
      <c r="V263" s="65"/>
      <c r="W263" s="65"/>
      <c r="X263" s="65"/>
      <c r="Y263" s="65"/>
      <c r="Z263" s="66"/>
      <c r="AA263" s="66"/>
      <c r="AB263" s="66"/>
    </row>
    <row r="264" hidden="1" outlineLevel="1">
      <c r="A264" s="71">
        <v>46618.0</v>
      </c>
      <c r="B264" s="100">
        <f t="shared" si="62"/>
        <v>0</v>
      </c>
      <c r="C264" s="75">
        <v>0.1</v>
      </c>
      <c r="D264" s="76">
        <v>0.05</v>
      </c>
      <c r="E264" s="77">
        <v>3.0</v>
      </c>
      <c r="F264" s="78" t="str">
        <f t="shared" si="63"/>
        <v>#DIV/0!</v>
      </c>
      <c r="G264" s="79">
        <f t="shared" si="64"/>
        <v>5</v>
      </c>
      <c r="H264" s="80">
        <f t="shared" si="65"/>
        <v>2.5</v>
      </c>
      <c r="I264" s="81">
        <f t="shared" si="66"/>
        <v>0</v>
      </c>
      <c r="J264" s="82"/>
      <c r="K264" s="83"/>
      <c r="L264" s="84">
        <f t="shared" si="67"/>
        <v>50</v>
      </c>
      <c r="M264" s="65"/>
      <c r="N264" s="65"/>
      <c r="O264" s="65"/>
      <c r="P264" s="65"/>
      <c r="Q264" s="65"/>
      <c r="R264" s="65"/>
      <c r="S264" s="65"/>
      <c r="T264" s="65"/>
      <c r="U264" s="65"/>
      <c r="V264" s="65"/>
      <c r="W264" s="65"/>
      <c r="X264" s="65"/>
      <c r="Y264" s="65"/>
      <c r="Z264" s="66"/>
      <c r="AA264" s="66"/>
      <c r="AB264" s="66"/>
    </row>
    <row r="265" hidden="1" outlineLevel="1">
      <c r="A265" s="71">
        <v>46619.0</v>
      </c>
      <c r="B265" s="100">
        <f t="shared" si="62"/>
        <v>0</v>
      </c>
      <c r="C265" s="75">
        <v>0.1</v>
      </c>
      <c r="D265" s="76">
        <v>0.05</v>
      </c>
      <c r="E265" s="77">
        <v>3.0</v>
      </c>
      <c r="F265" s="78" t="str">
        <f t="shared" si="63"/>
        <v>#DIV/0!</v>
      </c>
      <c r="G265" s="79">
        <f t="shared" si="64"/>
        <v>5</v>
      </c>
      <c r="H265" s="80">
        <f t="shared" si="65"/>
        <v>2.5</v>
      </c>
      <c r="I265" s="81">
        <f t="shared" si="66"/>
        <v>0</v>
      </c>
      <c r="J265" s="82"/>
      <c r="K265" s="83"/>
      <c r="L265" s="84">
        <f t="shared" si="67"/>
        <v>50</v>
      </c>
      <c r="M265" s="65"/>
      <c r="N265" s="65"/>
      <c r="O265" s="65"/>
      <c r="P265" s="65"/>
      <c r="Q265" s="65"/>
      <c r="R265" s="65"/>
      <c r="S265" s="65"/>
      <c r="T265" s="65"/>
      <c r="U265" s="65"/>
      <c r="V265" s="65"/>
      <c r="W265" s="65"/>
      <c r="X265" s="65"/>
      <c r="Y265" s="65"/>
      <c r="Z265" s="66"/>
      <c r="AA265" s="66"/>
      <c r="AB265" s="66"/>
    </row>
    <row r="266" hidden="1" outlineLevel="1">
      <c r="A266" s="71">
        <v>46620.0</v>
      </c>
      <c r="B266" s="100">
        <f t="shared" si="62"/>
        <v>0</v>
      </c>
      <c r="C266" s="75">
        <v>0.1</v>
      </c>
      <c r="D266" s="76">
        <v>0.05</v>
      </c>
      <c r="E266" s="77">
        <v>3.0</v>
      </c>
      <c r="F266" s="78" t="str">
        <f t="shared" si="63"/>
        <v>#DIV/0!</v>
      </c>
      <c r="G266" s="79">
        <f t="shared" si="64"/>
        <v>5</v>
      </c>
      <c r="H266" s="80">
        <f t="shared" si="65"/>
        <v>2.5</v>
      </c>
      <c r="I266" s="81">
        <f t="shared" si="66"/>
        <v>0</v>
      </c>
      <c r="J266" s="82"/>
      <c r="K266" s="83"/>
      <c r="L266" s="84">
        <f t="shared" si="67"/>
        <v>50</v>
      </c>
      <c r="M266" s="65"/>
      <c r="N266" s="65"/>
      <c r="O266" s="65"/>
      <c r="P266" s="65"/>
      <c r="Q266" s="65"/>
      <c r="R266" s="65"/>
      <c r="S266" s="65"/>
      <c r="T266" s="65"/>
      <c r="U266" s="65"/>
      <c r="V266" s="65"/>
      <c r="W266" s="65"/>
      <c r="X266" s="65"/>
      <c r="Y266" s="65"/>
      <c r="Z266" s="66"/>
      <c r="AA266" s="66"/>
      <c r="AB266" s="66"/>
    </row>
    <row r="267" hidden="1" outlineLevel="1">
      <c r="A267" s="71">
        <v>46621.0</v>
      </c>
      <c r="B267" s="100">
        <f t="shared" si="62"/>
        <v>0</v>
      </c>
      <c r="C267" s="75">
        <v>0.1</v>
      </c>
      <c r="D267" s="76">
        <v>0.05</v>
      </c>
      <c r="E267" s="77">
        <v>3.0</v>
      </c>
      <c r="F267" s="78" t="str">
        <f t="shared" si="63"/>
        <v>#DIV/0!</v>
      </c>
      <c r="G267" s="79">
        <f t="shared" si="64"/>
        <v>5</v>
      </c>
      <c r="H267" s="80">
        <f t="shared" si="65"/>
        <v>2.5</v>
      </c>
      <c r="I267" s="81">
        <f t="shared" si="66"/>
        <v>0</v>
      </c>
      <c r="J267" s="82"/>
      <c r="K267" s="83"/>
      <c r="L267" s="84">
        <f t="shared" si="67"/>
        <v>50</v>
      </c>
      <c r="M267" s="65"/>
      <c r="N267" s="65"/>
      <c r="O267" s="65"/>
      <c r="P267" s="65"/>
      <c r="Q267" s="65"/>
      <c r="R267" s="65"/>
      <c r="S267" s="65"/>
      <c r="T267" s="65"/>
      <c r="U267" s="65"/>
      <c r="V267" s="65"/>
      <c r="W267" s="65"/>
      <c r="X267" s="65"/>
      <c r="Y267" s="65"/>
      <c r="Z267" s="66"/>
      <c r="AA267" s="66"/>
      <c r="AB267" s="66"/>
    </row>
    <row r="268" hidden="1" outlineLevel="1">
      <c r="A268" s="71">
        <v>46622.0</v>
      </c>
      <c r="B268" s="100">
        <f t="shared" si="62"/>
        <v>0</v>
      </c>
      <c r="C268" s="75">
        <v>0.1</v>
      </c>
      <c r="D268" s="76">
        <v>0.05</v>
      </c>
      <c r="E268" s="77">
        <v>3.0</v>
      </c>
      <c r="F268" s="78" t="str">
        <f t="shared" si="63"/>
        <v>#DIV/0!</v>
      </c>
      <c r="G268" s="79">
        <f t="shared" si="64"/>
        <v>5</v>
      </c>
      <c r="H268" s="80">
        <f t="shared" si="65"/>
        <v>2.5</v>
      </c>
      <c r="I268" s="81">
        <f t="shared" si="66"/>
        <v>0</v>
      </c>
      <c r="J268" s="82"/>
      <c r="K268" s="83"/>
      <c r="L268" s="84">
        <f t="shared" si="67"/>
        <v>50</v>
      </c>
      <c r="M268" s="65"/>
      <c r="N268" s="65"/>
      <c r="O268" s="65"/>
      <c r="P268" s="65"/>
      <c r="Q268" s="65"/>
      <c r="R268" s="65"/>
      <c r="S268" s="65"/>
      <c r="T268" s="65"/>
      <c r="U268" s="65"/>
      <c r="V268" s="65"/>
      <c r="W268" s="65"/>
      <c r="X268" s="65"/>
      <c r="Y268" s="65"/>
      <c r="Z268" s="66"/>
      <c r="AA268" s="66"/>
      <c r="AB268" s="66"/>
    </row>
    <row r="269" hidden="1" outlineLevel="1">
      <c r="A269" s="71">
        <v>46623.0</v>
      </c>
      <c r="B269" s="100">
        <f t="shared" si="62"/>
        <v>0</v>
      </c>
      <c r="C269" s="75">
        <v>0.1</v>
      </c>
      <c r="D269" s="76">
        <v>0.05</v>
      </c>
      <c r="E269" s="77">
        <v>3.0</v>
      </c>
      <c r="F269" s="78" t="str">
        <f t="shared" si="63"/>
        <v>#DIV/0!</v>
      </c>
      <c r="G269" s="79">
        <f t="shared" si="64"/>
        <v>5</v>
      </c>
      <c r="H269" s="80">
        <f t="shared" si="65"/>
        <v>2.5</v>
      </c>
      <c r="I269" s="81">
        <f t="shared" si="66"/>
        <v>0</v>
      </c>
      <c r="J269" s="82"/>
      <c r="K269" s="83"/>
      <c r="L269" s="84">
        <f t="shared" si="67"/>
        <v>50</v>
      </c>
      <c r="M269" s="65"/>
      <c r="N269" s="65"/>
      <c r="O269" s="65"/>
      <c r="P269" s="65"/>
      <c r="Q269" s="65"/>
      <c r="R269" s="65"/>
      <c r="S269" s="65"/>
      <c r="T269" s="65"/>
      <c r="U269" s="65"/>
      <c r="V269" s="65"/>
      <c r="W269" s="65"/>
      <c r="X269" s="65"/>
      <c r="Y269" s="65"/>
      <c r="Z269" s="66"/>
      <c r="AA269" s="66"/>
      <c r="AB269" s="66"/>
    </row>
    <row r="270" hidden="1" outlineLevel="1">
      <c r="A270" s="71">
        <v>46624.0</v>
      </c>
      <c r="B270" s="100">
        <f t="shared" si="62"/>
        <v>0</v>
      </c>
      <c r="C270" s="75">
        <v>0.1</v>
      </c>
      <c r="D270" s="76">
        <v>0.05</v>
      </c>
      <c r="E270" s="77">
        <v>3.0</v>
      </c>
      <c r="F270" s="78" t="str">
        <f t="shared" si="63"/>
        <v>#DIV/0!</v>
      </c>
      <c r="G270" s="79">
        <f t="shared" si="64"/>
        <v>5</v>
      </c>
      <c r="H270" s="80">
        <f t="shared" si="65"/>
        <v>2.5</v>
      </c>
      <c r="I270" s="81">
        <f t="shared" si="66"/>
        <v>0</v>
      </c>
      <c r="J270" s="82"/>
      <c r="K270" s="83"/>
      <c r="L270" s="84">
        <f t="shared" si="67"/>
        <v>50</v>
      </c>
      <c r="M270" s="65"/>
      <c r="N270" s="65"/>
      <c r="O270" s="65"/>
      <c r="P270" s="65"/>
      <c r="Q270" s="65"/>
      <c r="R270" s="65"/>
      <c r="S270" s="65"/>
      <c r="T270" s="65"/>
      <c r="U270" s="65"/>
      <c r="V270" s="65"/>
      <c r="W270" s="65"/>
      <c r="X270" s="65"/>
      <c r="Y270" s="65"/>
      <c r="Z270" s="66"/>
      <c r="AA270" s="66"/>
      <c r="AB270" s="66"/>
    </row>
    <row r="271" hidden="1" outlineLevel="1">
      <c r="A271" s="71">
        <v>46625.0</v>
      </c>
      <c r="B271" s="100">
        <f t="shared" si="62"/>
        <v>0</v>
      </c>
      <c r="C271" s="75">
        <v>0.1</v>
      </c>
      <c r="D271" s="76">
        <v>0.05</v>
      </c>
      <c r="E271" s="77">
        <v>3.0</v>
      </c>
      <c r="F271" s="78" t="str">
        <f t="shared" si="63"/>
        <v>#DIV/0!</v>
      </c>
      <c r="G271" s="79">
        <f t="shared" si="64"/>
        <v>5</v>
      </c>
      <c r="H271" s="80">
        <f t="shared" si="65"/>
        <v>2.5</v>
      </c>
      <c r="I271" s="81">
        <f t="shared" si="66"/>
        <v>0</v>
      </c>
      <c r="J271" s="82"/>
      <c r="K271" s="83"/>
      <c r="L271" s="84">
        <f t="shared" si="67"/>
        <v>50</v>
      </c>
      <c r="M271" s="65"/>
      <c r="N271" s="65"/>
      <c r="O271" s="65"/>
      <c r="P271" s="65"/>
      <c r="Q271" s="65"/>
      <c r="R271" s="65"/>
      <c r="S271" s="65"/>
      <c r="T271" s="65"/>
      <c r="U271" s="65"/>
      <c r="V271" s="65"/>
      <c r="W271" s="65"/>
      <c r="X271" s="65"/>
      <c r="Y271" s="65"/>
      <c r="Z271" s="66"/>
      <c r="AA271" s="66"/>
      <c r="AB271" s="66"/>
    </row>
    <row r="272" hidden="1" outlineLevel="1">
      <c r="A272" s="71">
        <v>46626.0</v>
      </c>
      <c r="B272" s="100">
        <f t="shared" si="62"/>
        <v>0</v>
      </c>
      <c r="C272" s="75">
        <v>0.1</v>
      </c>
      <c r="D272" s="76">
        <v>0.05</v>
      </c>
      <c r="E272" s="77">
        <v>3.0</v>
      </c>
      <c r="F272" s="78" t="str">
        <f t="shared" si="63"/>
        <v>#DIV/0!</v>
      </c>
      <c r="G272" s="79">
        <f t="shared" si="64"/>
        <v>5</v>
      </c>
      <c r="H272" s="80">
        <f t="shared" si="65"/>
        <v>2.5</v>
      </c>
      <c r="I272" s="81">
        <f t="shared" si="66"/>
        <v>0</v>
      </c>
      <c r="J272" s="82"/>
      <c r="K272" s="83"/>
      <c r="L272" s="84">
        <f t="shared" si="67"/>
        <v>50</v>
      </c>
      <c r="M272" s="65"/>
      <c r="N272" s="65"/>
      <c r="O272" s="65"/>
      <c r="P272" s="65"/>
      <c r="Q272" s="65"/>
      <c r="R272" s="65"/>
      <c r="S272" s="65"/>
      <c r="T272" s="65"/>
      <c r="U272" s="65"/>
      <c r="V272" s="65"/>
      <c r="W272" s="65"/>
      <c r="X272" s="65"/>
      <c r="Y272" s="65"/>
      <c r="Z272" s="66"/>
      <c r="AA272" s="66"/>
      <c r="AB272" s="66"/>
    </row>
    <row r="273" hidden="1" outlineLevel="1">
      <c r="A273" s="71">
        <v>46627.0</v>
      </c>
      <c r="B273" s="100">
        <f t="shared" si="62"/>
        <v>0</v>
      </c>
      <c r="C273" s="75">
        <v>0.1</v>
      </c>
      <c r="D273" s="76">
        <v>0.05</v>
      </c>
      <c r="E273" s="77">
        <v>3.0</v>
      </c>
      <c r="F273" s="78" t="str">
        <f t="shared" si="63"/>
        <v>#DIV/0!</v>
      </c>
      <c r="G273" s="79">
        <f t="shared" si="64"/>
        <v>5</v>
      </c>
      <c r="H273" s="80">
        <f t="shared" si="65"/>
        <v>2.5</v>
      </c>
      <c r="I273" s="81">
        <f t="shared" si="66"/>
        <v>0</v>
      </c>
      <c r="J273" s="82"/>
      <c r="K273" s="83"/>
      <c r="L273" s="84">
        <f t="shared" si="67"/>
        <v>50</v>
      </c>
      <c r="M273" s="65"/>
      <c r="N273" s="65"/>
      <c r="O273" s="65"/>
      <c r="P273" s="65"/>
      <c r="Q273" s="65"/>
      <c r="R273" s="65"/>
      <c r="S273" s="65"/>
      <c r="T273" s="65"/>
      <c r="U273" s="65"/>
      <c r="V273" s="65"/>
      <c r="W273" s="65"/>
      <c r="X273" s="65"/>
      <c r="Y273" s="65"/>
      <c r="Z273" s="66"/>
      <c r="AA273" s="66"/>
      <c r="AB273" s="66"/>
    </row>
    <row r="274" hidden="1" outlineLevel="1">
      <c r="A274" s="71">
        <v>46628.0</v>
      </c>
      <c r="B274" s="100">
        <f t="shared" si="62"/>
        <v>0</v>
      </c>
      <c r="C274" s="75">
        <v>0.1</v>
      </c>
      <c r="D274" s="76">
        <v>0.05</v>
      </c>
      <c r="E274" s="77">
        <v>3.0</v>
      </c>
      <c r="F274" s="78" t="str">
        <f t="shared" si="63"/>
        <v>#DIV/0!</v>
      </c>
      <c r="G274" s="79">
        <f t="shared" si="64"/>
        <v>5</v>
      </c>
      <c r="H274" s="80">
        <f t="shared" si="65"/>
        <v>2.5</v>
      </c>
      <c r="I274" s="81">
        <f t="shared" si="66"/>
        <v>0</v>
      </c>
      <c r="J274" s="82"/>
      <c r="K274" s="83"/>
      <c r="L274" s="84">
        <f t="shared" si="67"/>
        <v>50</v>
      </c>
      <c r="M274" s="65"/>
      <c r="N274" s="65"/>
      <c r="O274" s="65"/>
      <c r="P274" s="65"/>
      <c r="Q274" s="65"/>
      <c r="R274" s="65"/>
      <c r="S274" s="65"/>
      <c r="T274" s="65"/>
      <c r="U274" s="65"/>
      <c r="V274" s="65"/>
      <c r="W274" s="65"/>
      <c r="X274" s="65"/>
      <c r="Y274" s="65"/>
      <c r="Z274" s="66"/>
      <c r="AA274" s="66"/>
      <c r="AB274" s="66"/>
    </row>
    <row r="275" hidden="1" outlineLevel="1">
      <c r="A275" s="71">
        <v>46629.0</v>
      </c>
      <c r="B275" s="100">
        <f t="shared" si="62"/>
        <v>0</v>
      </c>
      <c r="C275" s="75">
        <v>0.1</v>
      </c>
      <c r="D275" s="76">
        <v>0.05</v>
      </c>
      <c r="E275" s="77">
        <v>3.0</v>
      </c>
      <c r="F275" s="78" t="str">
        <f t="shared" si="63"/>
        <v>#DIV/0!</v>
      </c>
      <c r="G275" s="79">
        <f t="shared" si="64"/>
        <v>5</v>
      </c>
      <c r="H275" s="80">
        <f t="shared" si="65"/>
        <v>2.5</v>
      </c>
      <c r="I275" s="81">
        <f t="shared" si="66"/>
        <v>0</v>
      </c>
      <c r="J275" s="82"/>
      <c r="K275" s="83"/>
      <c r="L275" s="84">
        <f t="shared" si="67"/>
        <v>50</v>
      </c>
      <c r="M275" s="65"/>
      <c r="N275" s="65"/>
      <c r="O275" s="65"/>
      <c r="P275" s="65"/>
      <c r="Q275" s="65"/>
      <c r="R275" s="65"/>
      <c r="S275" s="65"/>
      <c r="T275" s="65"/>
      <c r="U275" s="65"/>
      <c r="V275" s="65"/>
      <c r="W275" s="65"/>
      <c r="X275" s="65"/>
      <c r="Y275" s="65"/>
      <c r="Z275" s="66"/>
      <c r="AA275" s="66"/>
      <c r="AB275" s="66"/>
    </row>
    <row r="276" hidden="1" outlineLevel="1">
      <c r="A276" s="71">
        <v>46630.0</v>
      </c>
      <c r="B276" s="100">
        <f t="shared" si="62"/>
        <v>0</v>
      </c>
      <c r="C276" s="75">
        <v>0.1</v>
      </c>
      <c r="D276" s="76">
        <v>0.05</v>
      </c>
      <c r="E276" s="77">
        <v>3.0</v>
      </c>
      <c r="F276" s="78" t="str">
        <f t="shared" si="63"/>
        <v>#DIV/0!</v>
      </c>
      <c r="G276" s="79">
        <f t="shared" si="64"/>
        <v>5</v>
      </c>
      <c r="H276" s="80">
        <f t="shared" si="65"/>
        <v>2.5</v>
      </c>
      <c r="I276" s="81">
        <f t="shared" si="66"/>
        <v>0</v>
      </c>
      <c r="J276" s="82"/>
      <c r="K276" s="83"/>
      <c r="L276" s="84">
        <f t="shared" si="67"/>
        <v>50</v>
      </c>
      <c r="M276" s="65"/>
      <c r="N276" s="65"/>
      <c r="O276" s="65"/>
      <c r="P276" s="65"/>
      <c r="Q276" s="65"/>
      <c r="R276" s="65"/>
      <c r="S276" s="65"/>
      <c r="T276" s="65"/>
      <c r="U276" s="65"/>
      <c r="V276" s="65"/>
      <c r="W276" s="65"/>
      <c r="X276" s="65"/>
      <c r="Y276" s="65"/>
      <c r="Z276" s="66"/>
      <c r="AA276" s="66"/>
      <c r="AB276" s="66"/>
    </row>
    <row r="277" hidden="1" outlineLevel="1">
      <c r="A277" s="85" t="s">
        <v>41</v>
      </c>
      <c r="C277" s="86">
        <f>SUM(C246:C276)</f>
        <v>3.1</v>
      </c>
      <c r="D277" s="87"/>
      <c r="E277" s="87"/>
      <c r="F277" s="87"/>
      <c r="G277" s="87"/>
      <c r="H277" s="87"/>
      <c r="I277" s="87" t="str">
        <f t="shared" ref="I277:K277" si="68">SUM(I246:I276)</f>
        <v>#DIV/0!</v>
      </c>
      <c r="J277" s="89">
        <f t="shared" si="68"/>
        <v>0</v>
      </c>
      <c r="K277" s="87">
        <f t="shared" si="68"/>
        <v>0</v>
      </c>
      <c r="L277" s="89">
        <f>L276</f>
        <v>50</v>
      </c>
      <c r="M277" s="65"/>
      <c r="N277" s="65"/>
      <c r="O277" s="65"/>
      <c r="P277" s="65"/>
      <c r="Q277" s="65"/>
      <c r="R277" s="65"/>
      <c r="S277" s="65"/>
      <c r="T277" s="65"/>
      <c r="U277" s="65"/>
      <c r="V277" s="65"/>
      <c r="W277" s="65"/>
      <c r="X277" s="65"/>
      <c r="Y277" s="65"/>
      <c r="Z277" s="66"/>
      <c r="AA277" s="66"/>
      <c r="AB277" s="66"/>
    </row>
    <row r="278">
      <c r="A278" s="95"/>
      <c r="B278" s="92"/>
      <c r="C278" s="92"/>
      <c r="D278" s="92"/>
      <c r="E278" s="92"/>
      <c r="F278" s="92"/>
      <c r="G278" s="92"/>
      <c r="H278" s="92"/>
      <c r="I278" s="92"/>
      <c r="J278" s="92"/>
      <c r="K278" s="94">
        <f>SUM(K246:K276)</f>
        <v>0</v>
      </c>
      <c r="L278" s="92"/>
      <c r="M278" s="65"/>
      <c r="N278" s="65"/>
      <c r="O278" s="65"/>
      <c r="P278" s="65"/>
      <c r="Q278" s="65"/>
      <c r="R278" s="65"/>
      <c r="S278" s="65"/>
      <c r="T278" s="65"/>
      <c r="U278" s="65"/>
      <c r="V278" s="65"/>
      <c r="W278" s="65"/>
      <c r="X278" s="65"/>
      <c r="Y278" s="65"/>
      <c r="Z278" s="66"/>
      <c r="AA278" s="66"/>
      <c r="AB278" s="66"/>
    </row>
    <row r="279" collapsed="1">
      <c r="A279" s="57" t="s">
        <v>50</v>
      </c>
      <c r="M279" s="65"/>
      <c r="N279" s="65"/>
      <c r="O279" s="65"/>
      <c r="P279" s="65"/>
      <c r="Q279" s="65"/>
      <c r="R279" s="65"/>
      <c r="S279" s="65"/>
      <c r="T279" s="65"/>
      <c r="U279" s="65"/>
      <c r="V279" s="65"/>
      <c r="W279" s="65"/>
      <c r="X279" s="65"/>
      <c r="Y279" s="65"/>
      <c r="Z279" s="66"/>
      <c r="AA279" s="66"/>
      <c r="AB279" s="66"/>
    </row>
    <row r="280" hidden="1" outlineLevel="1">
      <c r="A280" s="71" t="s">
        <v>29</v>
      </c>
      <c r="B280" s="57" t="s">
        <v>30</v>
      </c>
      <c r="C280" s="57" t="s">
        <v>31</v>
      </c>
      <c r="D280" s="72" t="s">
        <v>32</v>
      </c>
      <c r="E280" s="72" t="s">
        <v>33</v>
      </c>
      <c r="F280" s="72" t="s">
        <v>34</v>
      </c>
      <c r="G280" s="73" t="s">
        <v>35</v>
      </c>
      <c r="H280" s="72" t="s">
        <v>36</v>
      </c>
      <c r="I280" s="57" t="s">
        <v>37</v>
      </c>
      <c r="J280" s="74" t="s">
        <v>38</v>
      </c>
      <c r="K280" s="57" t="s">
        <v>39</v>
      </c>
      <c r="L280" s="57" t="s">
        <v>40</v>
      </c>
      <c r="M280" s="65"/>
      <c r="N280" s="65"/>
      <c r="O280" s="65"/>
      <c r="P280" s="65"/>
      <c r="Q280" s="65"/>
      <c r="R280" s="65"/>
      <c r="S280" s="65"/>
      <c r="T280" s="65"/>
      <c r="U280" s="65"/>
      <c r="V280" s="65"/>
      <c r="W280" s="65"/>
      <c r="X280" s="65"/>
      <c r="Y280" s="65"/>
      <c r="Z280" s="66"/>
      <c r="AA280" s="66"/>
      <c r="AB280" s="66"/>
    </row>
    <row r="281" hidden="1" outlineLevel="1">
      <c r="A281" s="71">
        <v>46631.0</v>
      </c>
      <c r="B281" s="100">
        <f t="shared" ref="B281:B310" si="69">ROUND(AVERAGE((H281/1000)/E281), 2)</f>
        <v>0</v>
      </c>
      <c r="C281" s="75">
        <v>0.1</v>
      </c>
      <c r="D281" s="76">
        <v>0.05</v>
      </c>
      <c r="E281" s="77">
        <v>3.0</v>
      </c>
      <c r="F281" s="78" t="str">
        <f t="shared" ref="F281:F310" si="70">H281/B281</f>
        <v>#DIV/0!</v>
      </c>
      <c r="G281" s="79">
        <f>L277*C281</f>
        <v>5</v>
      </c>
      <c r="H281" s="80">
        <f>L277*D281</f>
        <v>2.5</v>
      </c>
      <c r="I281" s="81" t="str">
        <f>(J281/B276)*100</f>
        <v>#DIV/0!</v>
      </c>
      <c r="J281" s="82"/>
      <c r="K281" s="83"/>
      <c r="L281" s="84">
        <f>(L277+J281)-K281</f>
        <v>50</v>
      </c>
      <c r="M281" s="65"/>
      <c r="N281" s="65"/>
      <c r="O281" s="65"/>
      <c r="P281" s="65"/>
      <c r="Q281" s="65"/>
      <c r="R281" s="65"/>
      <c r="S281" s="65"/>
      <c r="T281" s="65"/>
      <c r="U281" s="65"/>
      <c r="V281" s="65"/>
      <c r="W281" s="65"/>
      <c r="X281" s="65"/>
      <c r="Y281" s="65"/>
      <c r="Z281" s="66"/>
      <c r="AA281" s="66"/>
      <c r="AB281" s="66"/>
    </row>
    <row r="282" hidden="1" outlineLevel="1">
      <c r="A282" s="71">
        <v>46632.0</v>
      </c>
      <c r="B282" s="100">
        <f t="shared" si="69"/>
        <v>0</v>
      </c>
      <c r="C282" s="75">
        <v>0.1</v>
      </c>
      <c r="D282" s="76">
        <v>0.05</v>
      </c>
      <c r="E282" s="77">
        <v>3.0</v>
      </c>
      <c r="F282" s="78" t="str">
        <f t="shared" si="70"/>
        <v>#DIV/0!</v>
      </c>
      <c r="G282" s="79">
        <f t="shared" ref="G282:G310" si="71">L281*C282</f>
        <v>5</v>
      </c>
      <c r="H282" s="80">
        <f t="shared" ref="H282:H310" si="72">L281*D282</f>
        <v>2.5</v>
      </c>
      <c r="I282" s="81">
        <f t="shared" ref="I282:I310" si="73">(J282/L281)*100</f>
        <v>0</v>
      </c>
      <c r="J282" s="82"/>
      <c r="K282" s="83"/>
      <c r="L282" s="84">
        <f t="shared" ref="L282:L310" si="74">(L281+J282)-K282</f>
        <v>50</v>
      </c>
      <c r="M282" s="65"/>
      <c r="N282" s="65"/>
      <c r="O282" s="65"/>
      <c r="P282" s="65"/>
      <c r="Q282" s="65"/>
      <c r="R282" s="65"/>
      <c r="S282" s="65"/>
      <c r="T282" s="65"/>
      <c r="U282" s="65"/>
      <c r="V282" s="65"/>
      <c r="W282" s="65"/>
      <c r="X282" s="65"/>
      <c r="Y282" s="65"/>
      <c r="Z282" s="66"/>
      <c r="AA282" s="66"/>
      <c r="AB282" s="66"/>
    </row>
    <row r="283" hidden="1" outlineLevel="1">
      <c r="A283" s="71">
        <v>46633.0</v>
      </c>
      <c r="B283" s="100">
        <f t="shared" si="69"/>
        <v>0</v>
      </c>
      <c r="C283" s="75">
        <v>0.1</v>
      </c>
      <c r="D283" s="76">
        <v>0.05</v>
      </c>
      <c r="E283" s="77">
        <v>3.0</v>
      </c>
      <c r="F283" s="78" t="str">
        <f t="shared" si="70"/>
        <v>#DIV/0!</v>
      </c>
      <c r="G283" s="79">
        <f t="shared" si="71"/>
        <v>5</v>
      </c>
      <c r="H283" s="80">
        <f t="shared" si="72"/>
        <v>2.5</v>
      </c>
      <c r="I283" s="81">
        <f t="shared" si="73"/>
        <v>0</v>
      </c>
      <c r="J283" s="82"/>
      <c r="K283" s="83"/>
      <c r="L283" s="84">
        <f t="shared" si="74"/>
        <v>50</v>
      </c>
      <c r="M283" s="65"/>
      <c r="N283" s="65"/>
      <c r="O283" s="65"/>
      <c r="P283" s="65"/>
      <c r="Q283" s="65"/>
      <c r="R283" s="65"/>
      <c r="S283" s="65"/>
      <c r="T283" s="65"/>
      <c r="U283" s="65"/>
      <c r="V283" s="65"/>
      <c r="W283" s="65"/>
      <c r="X283" s="65"/>
      <c r="Y283" s="65"/>
      <c r="Z283" s="66"/>
      <c r="AA283" s="66"/>
      <c r="AB283" s="66"/>
    </row>
    <row r="284" hidden="1" outlineLevel="1">
      <c r="A284" s="71">
        <v>46634.0</v>
      </c>
      <c r="B284" s="100">
        <f t="shared" si="69"/>
        <v>0</v>
      </c>
      <c r="C284" s="75">
        <v>0.1</v>
      </c>
      <c r="D284" s="76">
        <v>0.05</v>
      </c>
      <c r="E284" s="77">
        <v>3.0</v>
      </c>
      <c r="F284" s="78" t="str">
        <f t="shared" si="70"/>
        <v>#DIV/0!</v>
      </c>
      <c r="G284" s="79">
        <f t="shared" si="71"/>
        <v>5</v>
      </c>
      <c r="H284" s="80">
        <f t="shared" si="72"/>
        <v>2.5</v>
      </c>
      <c r="I284" s="81">
        <f t="shared" si="73"/>
        <v>0</v>
      </c>
      <c r="J284" s="82"/>
      <c r="K284" s="83"/>
      <c r="L284" s="84">
        <f t="shared" si="74"/>
        <v>50</v>
      </c>
      <c r="M284" s="65"/>
      <c r="N284" s="65"/>
      <c r="O284" s="65"/>
      <c r="P284" s="65"/>
      <c r="Q284" s="65"/>
      <c r="R284" s="65"/>
      <c r="S284" s="65"/>
      <c r="T284" s="65"/>
      <c r="U284" s="65"/>
      <c r="V284" s="65"/>
      <c r="W284" s="65"/>
      <c r="X284" s="65"/>
      <c r="Y284" s="65"/>
      <c r="Z284" s="66"/>
      <c r="AA284" s="66"/>
      <c r="AB284" s="66"/>
    </row>
    <row r="285" hidden="1" outlineLevel="1">
      <c r="A285" s="71">
        <v>46635.0</v>
      </c>
      <c r="B285" s="100">
        <f t="shared" si="69"/>
        <v>0</v>
      </c>
      <c r="C285" s="75">
        <v>0.1</v>
      </c>
      <c r="D285" s="76">
        <v>0.05</v>
      </c>
      <c r="E285" s="77">
        <v>3.0</v>
      </c>
      <c r="F285" s="78" t="str">
        <f t="shared" si="70"/>
        <v>#DIV/0!</v>
      </c>
      <c r="G285" s="79">
        <f t="shared" si="71"/>
        <v>5</v>
      </c>
      <c r="H285" s="80">
        <f t="shared" si="72"/>
        <v>2.5</v>
      </c>
      <c r="I285" s="81">
        <f t="shared" si="73"/>
        <v>0</v>
      </c>
      <c r="J285" s="82"/>
      <c r="K285" s="83"/>
      <c r="L285" s="84">
        <f t="shared" si="74"/>
        <v>50</v>
      </c>
      <c r="M285" s="65"/>
      <c r="N285" s="65"/>
      <c r="O285" s="65"/>
      <c r="P285" s="65"/>
      <c r="Q285" s="65"/>
      <c r="R285" s="65"/>
      <c r="S285" s="65"/>
      <c r="T285" s="65"/>
      <c r="U285" s="65"/>
      <c r="V285" s="65"/>
      <c r="W285" s="65"/>
      <c r="X285" s="65"/>
      <c r="Y285" s="65"/>
      <c r="Z285" s="66"/>
      <c r="AA285" s="66"/>
      <c r="AB285" s="66"/>
    </row>
    <row r="286" hidden="1" outlineLevel="1">
      <c r="A286" s="71">
        <v>46636.0</v>
      </c>
      <c r="B286" s="100">
        <f t="shared" si="69"/>
        <v>0</v>
      </c>
      <c r="C286" s="75">
        <v>0.1</v>
      </c>
      <c r="D286" s="76">
        <v>0.05</v>
      </c>
      <c r="E286" s="77">
        <v>3.0</v>
      </c>
      <c r="F286" s="78" t="str">
        <f t="shared" si="70"/>
        <v>#DIV/0!</v>
      </c>
      <c r="G286" s="79">
        <f t="shared" si="71"/>
        <v>5</v>
      </c>
      <c r="H286" s="80">
        <f t="shared" si="72"/>
        <v>2.5</v>
      </c>
      <c r="I286" s="81">
        <f t="shared" si="73"/>
        <v>0</v>
      </c>
      <c r="J286" s="82"/>
      <c r="K286" s="83"/>
      <c r="L286" s="84">
        <f t="shared" si="74"/>
        <v>50</v>
      </c>
      <c r="M286" s="65"/>
      <c r="N286" s="65"/>
      <c r="O286" s="65"/>
      <c r="P286" s="65"/>
      <c r="Q286" s="65"/>
      <c r="R286" s="65"/>
      <c r="S286" s="65"/>
      <c r="T286" s="65"/>
      <c r="U286" s="65"/>
      <c r="V286" s="65"/>
      <c r="W286" s="65"/>
      <c r="X286" s="65"/>
      <c r="Y286" s="65"/>
      <c r="Z286" s="66"/>
      <c r="AA286" s="66"/>
      <c r="AB286" s="66"/>
    </row>
    <row r="287" hidden="1" outlineLevel="1">
      <c r="A287" s="71">
        <v>46637.0</v>
      </c>
      <c r="B287" s="100">
        <f t="shared" si="69"/>
        <v>0</v>
      </c>
      <c r="C287" s="75">
        <v>0.1</v>
      </c>
      <c r="D287" s="76">
        <v>0.05</v>
      </c>
      <c r="E287" s="77">
        <v>3.0</v>
      </c>
      <c r="F287" s="78" t="str">
        <f t="shared" si="70"/>
        <v>#DIV/0!</v>
      </c>
      <c r="G287" s="79">
        <f t="shared" si="71"/>
        <v>5</v>
      </c>
      <c r="H287" s="80">
        <f t="shared" si="72"/>
        <v>2.5</v>
      </c>
      <c r="I287" s="81">
        <f t="shared" si="73"/>
        <v>0</v>
      </c>
      <c r="J287" s="82"/>
      <c r="K287" s="83"/>
      <c r="L287" s="84">
        <f t="shared" si="74"/>
        <v>50</v>
      </c>
      <c r="M287" s="65"/>
      <c r="N287" s="65"/>
      <c r="O287" s="65"/>
      <c r="P287" s="65"/>
      <c r="Q287" s="65"/>
      <c r="R287" s="65"/>
      <c r="S287" s="65"/>
      <c r="T287" s="65"/>
      <c r="U287" s="65"/>
      <c r="V287" s="65"/>
      <c r="W287" s="65"/>
      <c r="X287" s="65"/>
      <c r="Y287" s="65"/>
      <c r="Z287" s="66"/>
      <c r="AA287" s="66"/>
      <c r="AB287" s="66"/>
    </row>
    <row r="288" hidden="1" outlineLevel="1">
      <c r="A288" s="71">
        <v>46638.0</v>
      </c>
      <c r="B288" s="100">
        <f t="shared" si="69"/>
        <v>0</v>
      </c>
      <c r="C288" s="75">
        <v>0.1</v>
      </c>
      <c r="D288" s="76">
        <v>0.05</v>
      </c>
      <c r="E288" s="77">
        <v>3.0</v>
      </c>
      <c r="F288" s="78" t="str">
        <f t="shared" si="70"/>
        <v>#DIV/0!</v>
      </c>
      <c r="G288" s="79">
        <f t="shared" si="71"/>
        <v>5</v>
      </c>
      <c r="H288" s="80">
        <f t="shared" si="72"/>
        <v>2.5</v>
      </c>
      <c r="I288" s="81">
        <f t="shared" si="73"/>
        <v>0</v>
      </c>
      <c r="J288" s="82"/>
      <c r="K288" s="83"/>
      <c r="L288" s="84">
        <f t="shared" si="74"/>
        <v>50</v>
      </c>
      <c r="M288" s="65"/>
      <c r="N288" s="65"/>
      <c r="O288" s="65"/>
      <c r="P288" s="65"/>
      <c r="Q288" s="65"/>
      <c r="R288" s="65"/>
      <c r="S288" s="65"/>
      <c r="T288" s="65"/>
      <c r="U288" s="65"/>
      <c r="V288" s="65"/>
      <c r="W288" s="65"/>
      <c r="X288" s="65"/>
      <c r="Y288" s="65"/>
      <c r="Z288" s="66"/>
      <c r="AA288" s="66"/>
      <c r="AB288" s="66"/>
    </row>
    <row r="289" hidden="1" outlineLevel="1">
      <c r="A289" s="71">
        <v>46639.0</v>
      </c>
      <c r="B289" s="100">
        <f t="shared" si="69"/>
        <v>0</v>
      </c>
      <c r="C289" s="75">
        <v>0.1</v>
      </c>
      <c r="D289" s="76">
        <v>0.05</v>
      </c>
      <c r="E289" s="77">
        <v>3.0</v>
      </c>
      <c r="F289" s="78" t="str">
        <f t="shared" si="70"/>
        <v>#DIV/0!</v>
      </c>
      <c r="G289" s="79">
        <f t="shared" si="71"/>
        <v>5</v>
      </c>
      <c r="H289" s="80">
        <f t="shared" si="72"/>
        <v>2.5</v>
      </c>
      <c r="I289" s="81">
        <f t="shared" si="73"/>
        <v>0</v>
      </c>
      <c r="J289" s="82"/>
      <c r="K289" s="83"/>
      <c r="L289" s="84">
        <f t="shared" si="74"/>
        <v>50</v>
      </c>
      <c r="M289" s="65"/>
      <c r="N289" s="65"/>
      <c r="O289" s="65"/>
      <c r="P289" s="65"/>
      <c r="Q289" s="65"/>
      <c r="R289" s="65"/>
      <c r="S289" s="65"/>
      <c r="T289" s="65"/>
      <c r="U289" s="65"/>
      <c r="V289" s="65"/>
      <c r="W289" s="65"/>
      <c r="X289" s="65"/>
      <c r="Y289" s="65"/>
      <c r="Z289" s="66"/>
      <c r="AA289" s="66"/>
      <c r="AB289" s="66"/>
    </row>
    <row r="290" hidden="1" outlineLevel="1">
      <c r="A290" s="71">
        <v>46640.0</v>
      </c>
      <c r="B290" s="100">
        <f t="shared" si="69"/>
        <v>0</v>
      </c>
      <c r="C290" s="75">
        <v>0.1</v>
      </c>
      <c r="D290" s="76">
        <v>0.05</v>
      </c>
      <c r="E290" s="77">
        <v>3.0</v>
      </c>
      <c r="F290" s="78" t="str">
        <f t="shared" si="70"/>
        <v>#DIV/0!</v>
      </c>
      <c r="G290" s="79">
        <f t="shared" si="71"/>
        <v>5</v>
      </c>
      <c r="H290" s="80">
        <f t="shared" si="72"/>
        <v>2.5</v>
      </c>
      <c r="I290" s="81">
        <f t="shared" si="73"/>
        <v>0</v>
      </c>
      <c r="J290" s="82"/>
      <c r="K290" s="83"/>
      <c r="L290" s="84">
        <f t="shared" si="74"/>
        <v>50</v>
      </c>
      <c r="M290" s="65"/>
      <c r="N290" s="65"/>
      <c r="O290" s="65"/>
      <c r="P290" s="65"/>
      <c r="Q290" s="65"/>
      <c r="R290" s="65"/>
      <c r="S290" s="65"/>
      <c r="T290" s="65"/>
      <c r="U290" s="65"/>
      <c r="V290" s="65"/>
      <c r="W290" s="65"/>
      <c r="X290" s="65"/>
      <c r="Y290" s="65"/>
      <c r="Z290" s="66"/>
      <c r="AA290" s="66"/>
      <c r="AB290" s="66"/>
    </row>
    <row r="291" hidden="1" outlineLevel="1">
      <c r="A291" s="71">
        <v>46641.0</v>
      </c>
      <c r="B291" s="100">
        <f t="shared" si="69"/>
        <v>0</v>
      </c>
      <c r="C291" s="75">
        <v>0.1</v>
      </c>
      <c r="D291" s="76">
        <v>0.05</v>
      </c>
      <c r="E291" s="77">
        <v>3.0</v>
      </c>
      <c r="F291" s="78" t="str">
        <f t="shared" si="70"/>
        <v>#DIV/0!</v>
      </c>
      <c r="G291" s="79">
        <f t="shared" si="71"/>
        <v>5</v>
      </c>
      <c r="H291" s="80">
        <f t="shared" si="72"/>
        <v>2.5</v>
      </c>
      <c r="I291" s="81">
        <f t="shared" si="73"/>
        <v>0</v>
      </c>
      <c r="J291" s="82"/>
      <c r="K291" s="83"/>
      <c r="L291" s="84">
        <f t="shared" si="74"/>
        <v>50</v>
      </c>
      <c r="M291" s="65"/>
      <c r="N291" s="65"/>
      <c r="O291" s="65"/>
      <c r="P291" s="65"/>
      <c r="Q291" s="65"/>
      <c r="R291" s="65"/>
      <c r="S291" s="65"/>
      <c r="T291" s="65"/>
      <c r="U291" s="65"/>
      <c r="V291" s="65"/>
      <c r="W291" s="65"/>
      <c r="X291" s="65"/>
      <c r="Y291" s="65"/>
      <c r="Z291" s="66"/>
      <c r="AA291" s="66"/>
      <c r="AB291" s="66"/>
    </row>
    <row r="292" hidden="1" outlineLevel="1">
      <c r="A292" s="71">
        <v>46642.0</v>
      </c>
      <c r="B292" s="100">
        <f t="shared" si="69"/>
        <v>0</v>
      </c>
      <c r="C292" s="75">
        <v>0.1</v>
      </c>
      <c r="D292" s="76">
        <v>0.05</v>
      </c>
      <c r="E292" s="77">
        <v>3.0</v>
      </c>
      <c r="F292" s="78" t="str">
        <f t="shared" si="70"/>
        <v>#DIV/0!</v>
      </c>
      <c r="G292" s="79">
        <f t="shared" si="71"/>
        <v>5</v>
      </c>
      <c r="H292" s="80">
        <f t="shared" si="72"/>
        <v>2.5</v>
      </c>
      <c r="I292" s="81">
        <f t="shared" si="73"/>
        <v>0</v>
      </c>
      <c r="J292" s="82"/>
      <c r="K292" s="83"/>
      <c r="L292" s="84">
        <f t="shared" si="74"/>
        <v>50</v>
      </c>
      <c r="M292" s="65"/>
      <c r="N292" s="65"/>
      <c r="O292" s="65"/>
      <c r="P292" s="65"/>
      <c r="Q292" s="65"/>
      <c r="R292" s="65"/>
      <c r="S292" s="65"/>
      <c r="T292" s="65"/>
      <c r="U292" s="65"/>
      <c r="V292" s="65"/>
      <c r="W292" s="65"/>
      <c r="X292" s="65"/>
      <c r="Y292" s="65"/>
      <c r="Z292" s="66"/>
      <c r="AA292" s="66"/>
      <c r="AB292" s="66"/>
    </row>
    <row r="293" hidden="1" outlineLevel="1">
      <c r="A293" s="71">
        <v>46643.0</v>
      </c>
      <c r="B293" s="100">
        <f t="shared" si="69"/>
        <v>0</v>
      </c>
      <c r="C293" s="75">
        <v>0.1</v>
      </c>
      <c r="D293" s="76">
        <v>0.05</v>
      </c>
      <c r="E293" s="77">
        <v>3.0</v>
      </c>
      <c r="F293" s="78" t="str">
        <f t="shared" si="70"/>
        <v>#DIV/0!</v>
      </c>
      <c r="G293" s="79">
        <f t="shared" si="71"/>
        <v>5</v>
      </c>
      <c r="H293" s="80">
        <f t="shared" si="72"/>
        <v>2.5</v>
      </c>
      <c r="I293" s="81">
        <f t="shared" si="73"/>
        <v>0</v>
      </c>
      <c r="J293" s="82"/>
      <c r="K293" s="83"/>
      <c r="L293" s="84">
        <f t="shared" si="74"/>
        <v>50</v>
      </c>
      <c r="M293" s="65"/>
      <c r="N293" s="65"/>
      <c r="O293" s="65"/>
      <c r="P293" s="65"/>
      <c r="Q293" s="65"/>
      <c r="R293" s="65"/>
      <c r="S293" s="65"/>
      <c r="T293" s="65"/>
      <c r="U293" s="65"/>
      <c r="V293" s="65"/>
      <c r="W293" s="65"/>
      <c r="X293" s="65"/>
      <c r="Y293" s="65"/>
      <c r="Z293" s="66"/>
      <c r="AA293" s="66"/>
      <c r="AB293" s="66"/>
    </row>
    <row r="294" hidden="1" outlineLevel="1">
      <c r="A294" s="71">
        <v>46644.0</v>
      </c>
      <c r="B294" s="100">
        <f t="shared" si="69"/>
        <v>0</v>
      </c>
      <c r="C294" s="75">
        <v>0.1</v>
      </c>
      <c r="D294" s="76">
        <v>0.05</v>
      </c>
      <c r="E294" s="77">
        <v>3.0</v>
      </c>
      <c r="F294" s="78" t="str">
        <f t="shared" si="70"/>
        <v>#DIV/0!</v>
      </c>
      <c r="G294" s="79">
        <f t="shared" si="71"/>
        <v>5</v>
      </c>
      <c r="H294" s="80">
        <f t="shared" si="72"/>
        <v>2.5</v>
      </c>
      <c r="I294" s="81">
        <f t="shared" si="73"/>
        <v>0</v>
      </c>
      <c r="J294" s="82"/>
      <c r="K294" s="83"/>
      <c r="L294" s="84">
        <f t="shared" si="74"/>
        <v>50</v>
      </c>
      <c r="M294" s="65"/>
      <c r="N294" s="65"/>
      <c r="O294" s="65"/>
      <c r="P294" s="65"/>
      <c r="Q294" s="65"/>
      <c r="R294" s="65"/>
      <c r="S294" s="65"/>
      <c r="T294" s="65"/>
      <c r="U294" s="65"/>
      <c r="V294" s="65"/>
      <c r="W294" s="65"/>
      <c r="X294" s="65"/>
      <c r="Y294" s="65"/>
      <c r="Z294" s="66"/>
      <c r="AA294" s="66"/>
      <c r="AB294" s="66"/>
    </row>
    <row r="295" hidden="1" outlineLevel="1">
      <c r="A295" s="71">
        <v>46645.0</v>
      </c>
      <c r="B295" s="100">
        <f t="shared" si="69"/>
        <v>0</v>
      </c>
      <c r="C295" s="75">
        <v>0.1</v>
      </c>
      <c r="D295" s="76">
        <v>0.05</v>
      </c>
      <c r="E295" s="77">
        <v>3.0</v>
      </c>
      <c r="F295" s="78" t="str">
        <f t="shared" si="70"/>
        <v>#DIV/0!</v>
      </c>
      <c r="G295" s="79">
        <f t="shared" si="71"/>
        <v>5</v>
      </c>
      <c r="H295" s="80">
        <f t="shared" si="72"/>
        <v>2.5</v>
      </c>
      <c r="I295" s="81">
        <f t="shared" si="73"/>
        <v>0</v>
      </c>
      <c r="J295" s="82"/>
      <c r="K295" s="83"/>
      <c r="L295" s="84">
        <f t="shared" si="74"/>
        <v>50</v>
      </c>
      <c r="M295" s="65"/>
      <c r="N295" s="65"/>
      <c r="O295" s="65"/>
      <c r="P295" s="65"/>
      <c r="Q295" s="65"/>
      <c r="R295" s="65"/>
      <c r="S295" s="65"/>
      <c r="T295" s="65"/>
      <c r="U295" s="65"/>
      <c r="V295" s="65"/>
      <c r="W295" s="65"/>
      <c r="X295" s="65"/>
      <c r="Y295" s="65"/>
      <c r="Z295" s="66"/>
      <c r="AA295" s="66"/>
      <c r="AB295" s="66"/>
    </row>
    <row r="296" hidden="1" outlineLevel="1">
      <c r="A296" s="71">
        <v>46646.0</v>
      </c>
      <c r="B296" s="100">
        <f t="shared" si="69"/>
        <v>0</v>
      </c>
      <c r="C296" s="75">
        <v>0.1</v>
      </c>
      <c r="D296" s="76">
        <v>0.05</v>
      </c>
      <c r="E296" s="77">
        <v>3.0</v>
      </c>
      <c r="F296" s="78" t="str">
        <f t="shared" si="70"/>
        <v>#DIV/0!</v>
      </c>
      <c r="G296" s="79">
        <f t="shared" si="71"/>
        <v>5</v>
      </c>
      <c r="H296" s="80">
        <f t="shared" si="72"/>
        <v>2.5</v>
      </c>
      <c r="I296" s="81">
        <f t="shared" si="73"/>
        <v>0</v>
      </c>
      <c r="J296" s="82"/>
      <c r="K296" s="83"/>
      <c r="L296" s="84">
        <f t="shared" si="74"/>
        <v>50</v>
      </c>
      <c r="M296" s="65"/>
      <c r="N296" s="65"/>
      <c r="O296" s="65"/>
      <c r="P296" s="65"/>
      <c r="Q296" s="65"/>
      <c r="R296" s="65"/>
      <c r="S296" s="65"/>
      <c r="T296" s="65"/>
      <c r="U296" s="65"/>
      <c r="V296" s="65"/>
      <c r="W296" s="65"/>
      <c r="X296" s="65"/>
      <c r="Y296" s="65"/>
      <c r="Z296" s="66"/>
      <c r="AA296" s="66"/>
      <c r="AB296" s="66"/>
    </row>
    <row r="297" hidden="1" outlineLevel="1">
      <c r="A297" s="71">
        <v>46647.0</v>
      </c>
      <c r="B297" s="100">
        <f t="shared" si="69"/>
        <v>0</v>
      </c>
      <c r="C297" s="75">
        <v>0.1</v>
      </c>
      <c r="D297" s="76">
        <v>0.05</v>
      </c>
      <c r="E297" s="77">
        <v>3.0</v>
      </c>
      <c r="F297" s="78" t="str">
        <f t="shared" si="70"/>
        <v>#DIV/0!</v>
      </c>
      <c r="G297" s="79">
        <f t="shared" si="71"/>
        <v>5</v>
      </c>
      <c r="H297" s="80">
        <f t="shared" si="72"/>
        <v>2.5</v>
      </c>
      <c r="I297" s="81">
        <f t="shared" si="73"/>
        <v>0</v>
      </c>
      <c r="J297" s="82"/>
      <c r="K297" s="83"/>
      <c r="L297" s="84">
        <f t="shared" si="74"/>
        <v>50</v>
      </c>
      <c r="M297" s="65"/>
      <c r="N297" s="65"/>
      <c r="O297" s="65"/>
      <c r="P297" s="65"/>
      <c r="Q297" s="65"/>
      <c r="R297" s="65"/>
      <c r="S297" s="65"/>
      <c r="T297" s="65"/>
      <c r="U297" s="65"/>
      <c r="V297" s="65"/>
      <c r="W297" s="65"/>
      <c r="X297" s="65"/>
      <c r="Y297" s="65"/>
      <c r="Z297" s="66"/>
      <c r="AA297" s="66"/>
      <c r="AB297" s="66"/>
    </row>
    <row r="298" hidden="1" outlineLevel="1">
      <c r="A298" s="71">
        <v>46648.0</v>
      </c>
      <c r="B298" s="100">
        <f t="shared" si="69"/>
        <v>0</v>
      </c>
      <c r="C298" s="75">
        <v>0.1</v>
      </c>
      <c r="D298" s="76">
        <v>0.05</v>
      </c>
      <c r="E298" s="77">
        <v>3.0</v>
      </c>
      <c r="F298" s="78" t="str">
        <f t="shared" si="70"/>
        <v>#DIV/0!</v>
      </c>
      <c r="G298" s="79">
        <f t="shared" si="71"/>
        <v>5</v>
      </c>
      <c r="H298" s="80">
        <f t="shared" si="72"/>
        <v>2.5</v>
      </c>
      <c r="I298" s="81">
        <f t="shared" si="73"/>
        <v>0</v>
      </c>
      <c r="J298" s="82"/>
      <c r="K298" s="83"/>
      <c r="L298" s="84">
        <f t="shared" si="74"/>
        <v>50</v>
      </c>
      <c r="M298" s="65"/>
      <c r="N298" s="65"/>
      <c r="O298" s="65"/>
      <c r="P298" s="65"/>
      <c r="Q298" s="65"/>
      <c r="R298" s="65"/>
      <c r="S298" s="65"/>
      <c r="T298" s="65"/>
      <c r="U298" s="65"/>
      <c r="V298" s="65"/>
      <c r="W298" s="65"/>
      <c r="X298" s="65"/>
      <c r="Y298" s="65"/>
      <c r="Z298" s="66"/>
      <c r="AA298" s="66"/>
      <c r="AB298" s="66"/>
    </row>
    <row r="299" hidden="1" outlineLevel="1">
      <c r="A299" s="71">
        <v>46649.0</v>
      </c>
      <c r="B299" s="100">
        <f t="shared" si="69"/>
        <v>0</v>
      </c>
      <c r="C299" s="75">
        <v>0.1</v>
      </c>
      <c r="D299" s="76">
        <v>0.05</v>
      </c>
      <c r="E299" s="77">
        <v>3.0</v>
      </c>
      <c r="F299" s="78" t="str">
        <f t="shared" si="70"/>
        <v>#DIV/0!</v>
      </c>
      <c r="G299" s="79">
        <f t="shared" si="71"/>
        <v>5</v>
      </c>
      <c r="H299" s="80">
        <f t="shared" si="72"/>
        <v>2.5</v>
      </c>
      <c r="I299" s="81">
        <f t="shared" si="73"/>
        <v>0</v>
      </c>
      <c r="J299" s="82"/>
      <c r="K299" s="83"/>
      <c r="L299" s="84">
        <f t="shared" si="74"/>
        <v>50</v>
      </c>
      <c r="M299" s="65"/>
      <c r="N299" s="65"/>
      <c r="O299" s="65"/>
      <c r="P299" s="65"/>
      <c r="Q299" s="65"/>
      <c r="R299" s="65"/>
      <c r="S299" s="65"/>
      <c r="T299" s="65"/>
      <c r="U299" s="65"/>
      <c r="V299" s="65"/>
      <c r="W299" s="65"/>
      <c r="X299" s="65"/>
      <c r="Y299" s="65"/>
      <c r="Z299" s="66"/>
      <c r="AA299" s="66"/>
      <c r="AB299" s="66"/>
    </row>
    <row r="300" hidden="1" outlineLevel="1">
      <c r="A300" s="71">
        <v>46650.0</v>
      </c>
      <c r="B300" s="100">
        <f t="shared" si="69"/>
        <v>0</v>
      </c>
      <c r="C300" s="75">
        <v>0.1</v>
      </c>
      <c r="D300" s="76">
        <v>0.05</v>
      </c>
      <c r="E300" s="77">
        <v>3.0</v>
      </c>
      <c r="F300" s="78" t="str">
        <f t="shared" si="70"/>
        <v>#DIV/0!</v>
      </c>
      <c r="G300" s="79">
        <f t="shared" si="71"/>
        <v>5</v>
      </c>
      <c r="H300" s="80">
        <f t="shared" si="72"/>
        <v>2.5</v>
      </c>
      <c r="I300" s="81">
        <f t="shared" si="73"/>
        <v>0</v>
      </c>
      <c r="J300" s="82"/>
      <c r="K300" s="83"/>
      <c r="L300" s="84">
        <f t="shared" si="74"/>
        <v>50</v>
      </c>
      <c r="M300" s="65"/>
      <c r="N300" s="65"/>
      <c r="O300" s="65"/>
      <c r="P300" s="65"/>
      <c r="Q300" s="65"/>
      <c r="R300" s="65"/>
      <c r="S300" s="65"/>
      <c r="T300" s="65"/>
      <c r="U300" s="65"/>
      <c r="V300" s="65"/>
      <c r="W300" s="65"/>
      <c r="X300" s="65"/>
      <c r="Y300" s="65"/>
      <c r="Z300" s="66"/>
      <c r="AA300" s="66"/>
      <c r="AB300" s="66"/>
    </row>
    <row r="301" hidden="1" outlineLevel="1">
      <c r="A301" s="71">
        <v>46651.0</v>
      </c>
      <c r="B301" s="100">
        <f t="shared" si="69"/>
        <v>0</v>
      </c>
      <c r="C301" s="75">
        <v>0.1</v>
      </c>
      <c r="D301" s="76">
        <v>0.05</v>
      </c>
      <c r="E301" s="77">
        <v>3.0</v>
      </c>
      <c r="F301" s="78" t="str">
        <f t="shared" si="70"/>
        <v>#DIV/0!</v>
      </c>
      <c r="G301" s="79">
        <f t="shared" si="71"/>
        <v>5</v>
      </c>
      <c r="H301" s="80">
        <f t="shared" si="72"/>
        <v>2.5</v>
      </c>
      <c r="I301" s="81">
        <f t="shared" si="73"/>
        <v>0</v>
      </c>
      <c r="J301" s="82"/>
      <c r="K301" s="83"/>
      <c r="L301" s="84">
        <f t="shared" si="74"/>
        <v>50</v>
      </c>
      <c r="M301" s="65"/>
      <c r="N301" s="65"/>
      <c r="O301" s="65"/>
      <c r="P301" s="65"/>
      <c r="Q301" s="65"/>
      <c r="R301" s="65"/>
      <c r="S301" s="65"/>
      <c r="T301" s="65"/>
      <c r="U301" s="65"/>
      <c r="V301" s="65"/>
      <c r="W301" s="65"/>
      <c r="X301" s="65"/>
      <c r="Y301" s="65"/>
      <c r="Z301" s="66"/>
      <c r="AA301" s="66"/>
      <c r="AB301" s="66"/>
    </row>
    <row r="302" hidden="1" outlineLevel="1">
      <c r="A302" s="71">
        <v>46652.0</v>
      </c>
      <c r="B302" s="100">
        <f t="shared" si="69"/>
        <v>0</v>
      </c>
      <c r="C302" s="75">
        <v>0.1</v>
      </c>
      <c r="D302" s="76">
        <v>0.05</v>
      </c>
      <c r="E302" s="77">
        <v>3.0</v>
      </c>
      <c r="F302" s="78" t="str">
        <f t="shared" si="70"/>
        <v>#DIV/0!</v>
      </c>
      <c r="G302" s="79">
        <f t="shared" si="71"/>
        <v>5</v>
      </c>
      <c r="H302" s="80">
        <f t="shared" si="72"/>
        <v>2.5</v>
      </c>
      <c r="I302" s="81">
        <f t="shared" si="73"/>
        <v>0</v>
      </c>
      <c r="J302" s="82"/>
      <c r="K302" s="83"/>
      <c r="L302" s="84">
        <f t="shared" si="74"/>
        <v>50</v>
      </c>
      <c r="M302" s="65"/>
      <c r="N302" s="65"/>
      <c r="O302" s="65"/>
      <c r="P302" s="65"/>
      <c r="Q302" s="65"/>
      <c r="R302" s="65"/>
      <c r="S302" s="65"/>
      <c r="T302" s="65"/>
      <c r="U302" s="65"/>
      <c r="V302" s="65"/>
      <c r="W302" s="65"/>
      <c r="X302" s="65"/>
      <c r="Y302" s="65"/>
      <c r="Z302" s="66"/>
      <c r="AA302" s="66"/>
      <c r="AB302" s="66"/>
    </row>
    <row r="303" hidden="1" outlineLevel="1">
      <c r="A303" s="71">
        <v>46653.0</v>
      </c>
      <c r="B303" s="100">
        <f t="shared" si="69"/>
        <v>0</v>
      </c>
      <c r="C303" s="75">
        <v>0.1</v>
      </c>
      <c r="D303" s="76">
        <v>0.05</v>
      </c>
      <c r="E303" s="77">
        <v>3.0</v>
      </c>
      <c r="F303" s="78" t="str">
        <f t="shared" si="70"/>
        <v>#DIV/0!</v>
      </c>
      <c r="G303" s="79">
        <f t="shared" si="71"/>
        <v>5</v>
      </c>
      <c r="H303" s="80">
        <f t="shared" si="72"/>
        <v>2.5</v>
      </c>
      <c r="I303" s="81">
        <f t="shared" si="73"/>
        <v>0</v>
      </c>
      <c r="J303" s="82"/>
      <c r="K303" s="83"/>
      <c r="L303" s="84">
        <f t="shared" si="74"/>
        <v>50</v>
      </c>
      <c r="M303" s="65"/>
      <c r="N303" s="65"/>
      <c r="O303" s="65"/>
      <c r="P303" s="65"/>
      <c r="Q303" s="65"/>
      <c r="R303" s="65"/>
      <c r="S303" s="65"/>
      <c r="T303" s="65"/>
      <c r="U303" s="65"/>
      <c r="V303" s="65"/>
      <c r="W303" s="65"/>
      <c r="X303" s="65"/>
      <c r="Y303" s="65"/>
      <c r="Z303" s="66"/>
      <c r="AA303" s="66"/>
      <c r="AB303" s="66"/>
    </row>
    <row r="304" hidden="1" outlineLevel="1">
      <c r="A304" s="71">
        <v>46654.0</v>
      </c>
      <c r="B304" s="100">
        <f t="shared" si="69"/>
        <v>0</v>
      </c>
      <c r="C304" s="75">
        <v>0.1</v>
      </c>
      <c r="D304" s="76">
        <v>0.05</v>
      </c>
      <c r="E304" s="77">
        <v>3.0</v>
      </c>
      <c r="F304" s="78" t="str">
        <f t="shared" si="70"/>
        <v>#DIV/0!</v>
      </c>
      <c r="G304" s="79">
        <f t="shared" si="71"/>
        <v>5</v>
      </c>
      <c r="H304" s="80">
        <f t="shared" si="72"/>
        <v>2.5</v>
      </c>
      <c r="I304" s="81">
        <f t="shared" si="73"/>
        <v>0</v>
      </c>
      <c r="J304" s="82"/>
      <c r="K304" s="83"/>
      <c r="L304" s="84">
        <f t="shared" si="74"/>
        <v>50</v>
      </c>
      <c r="M304" s="65"/>
      <c r="N304" s="65"/>
      <c r="O304" s="65"/>
      <c r="P304" s="65"/>
      <c r="Q304" s="65"/>
      <c r="R304" s="65"/>
      <c r="S304" s="65"/>
      <c r="T304" s="65"/>
      <c r="U304" s="65"/>
      <c r="V304" s="65"/>
      <c r="W304" s="65"/>
      <c r="X304" s="65"/>
      <c r="Y304" s="65"/>
      <c r="Z304" s="66"/>
      <c r="AA304" s="66"/>
      <c r="AB304" s="66"/>
    </row>
    <row r="305" hidden="1" outlineLevel="1">
      <c r="A305" s="71">
        <v>46655.0</v>
      </c>
      <c r="B305" s="100">
        <f t="shared" si="69"/>
        <v>0</v>
      </c>
      <c r="C305" s="75">
        <v>0.1</v>
      </c>
      <c r="D305" s="76">
        <v>0.05</v>
      </c>
      <c r="E305" s="77">
        <v>3.0</v>
      </c>
      <c r="F305" s="78" t="str">
        <f t="shared" si="70"/>
        <v>#DIV/0!</v>
      </c>
      <c r="G305" s="79">
        <f t="shared" si="71"/>
        <v>5</v>
      </c>
      <c r="H305" s="80">
        <f t="shared" si="72"/>
        <v>2.5</v>
      </c>
      <c r="I305" s="81">
        <f t="shared" si="73"/>
        <v>0</v>
      </c>
      <c r="J305" s="82"/>
      <c r="K305" s="83"/>
      <c r="L305" s="84">
        <f t="shared" si="74"/>
        <v>50</v>
      </c>
      <c r="M305" s="65"/>
      <c r="N305" s="65"/>
      <c r="O305" s="65"/>
      <c r="P305" s="65"/>
      <c r="Q305" s="65"/>
      <c r="R305" s="65"/>
      <c r="S305" s="65"/>
      <c r="T305" s="65"/>
      <c r="U305" s="65"/>
      <c r="V305" s="65"/>
      <c r="W305" s="65"/>
      <c r="X305" s="65"/>
      <c r="Y305" s="65"/>
      <c r="Z305" s="66"/>
      <c r="AA305" s="66"/>
      <c r="AB305" s="66"/>
    </row>
    <row r="306" hidden="1" outlineLevel="1">
      <c r="A306" s="71">
        <v>46656.0</v>
      </c>
      <c r="B306" s="100">
        <f t="shared" si="69"/>
        <v>0</v>
      </c>
      <c r="C306" s="75">
        <v>0.1</v>
      </c>
      <c r="D306" s="76">
        <v>0.05</v>
      </c>
      <c r="E306" s="77">
        <v>3.0</v>
      </c>
      <c r="F306" s="78" t="str">
        <f t="shared" si="70"/>
        <v>#DIV/0!</v>
      </c>
      <c r="G306" s="79">
        <f t="shared" si="71"/>
        <v>5</v>
      </c>
      <c r="H306" s="80">
        <f t="shared" si="72"/>
        <v>2.5</v>
      </c>
      <c r="I306" s="81">
        <f t="shared" si="73"/>
        <v>0</v>
      </c>
      <c r="J306" s="82"/>
      <c r="K306" s="83"/>
      <c r="L306" s="84">
        <f t="shared" si="74"/>
        <v>50</v>
      </c>
      <c r="M306" s="65"/>
      <c r="N306" s="65"/>
      <c r="O306" s="65"/>
      <c r="P306" s="65"/>
      <c r="Q306" s="65"/>
      <c r="R306" s="65"/>
      <c r="S306" s="65"/>
      <c r="T306" s="65"/>
      <c r="U306" s="65"/>
      <c r="V306" s="65"/>
      <c r="W306" s="65"/>
      <c r="X306" s="65"/>
      <c r="Y306" s="65"/>
      <c r="Z306" s="66"/>
      <c r="AA306" s="66"/>
      <c r="AB306" s="66"/>
    </row>
    <row r="307" hidden="1" outlineLevel="1">
      <c r="A307" s="71">
        <v>46657.0</v>
      </c>
      <c r="B307" s="100">
        <f t="shared" si="69"/>
        <v>0</v>
      </c>
      <c r="C307" s="75">
        <v>0.1</v>
      </c>
      <c r="D307" s="76">
        <v>0.05</v>
      </c>
      <c r="E307" s="77">
        <v>3.0</v>
      </c>
      <c r="F307" s="78" t="str">
        <f t="shared" si="70"/>
        <v>#DIV/0!</v>
      </c>
      <c r="G307" s="79">
        <f t="shared" si="71"/>
        <v>5</v>
      </c>
      <c r="H307" s="80">
        <f t="shared" si="72"/>
        <v>2.5</v>
      </c>
      <c r="I307" s="81">
        <f t="shared" si="73"/>
        <v>0</v>
      </c>
      <c r="J307" s="82"/>
      <c r="K307" s="83"/>
      <c r="L307" s="84">
        <f t="shared" si="74"/>
        <v>50</v>
      </c>
      <c r="M307" s="65"/>
      <c r="N307" s="65"/>
      <c r="O307" s="65"/>
      <c r="P307" s="65"/>
      <c r="Q307" s="65"/>
      <c r="R307" s="65"/>
      <c r="S307" s="65"/>
      <c r="T307" s="65"/>
      <c r="U307" s="65"/>
      <c r="V307" s="65"/>
      <c r="W307" s="65"/>
      <c r="X307" s="65"/>
      <c r="Y307" s="65"/>
      <c r="Z307" s="66"/>
      <c r="AA307" s="66"/>
      <c r="AB307" s="66"/>
    </row>
    <row r="308" hidden="1" outlineLevel="1">
      <c r="A308" s="71">
        <v>46658.0</v>
      </c>
      <c r="B308" s="100">
        <f t="shared" si="69"/>
        <v>0</v>
      </c>
      <c r="C308" s="75">
        <v>0.1</v>
      </c>
      <c r="D308" s="76">
        <v>0.05</v>
      </c>
      <c r="E308" s="77">
        <v>3.0</v>
      </c>
      <c r="F308" s="78" t="str">
        <f t="shared" si="70"/>
        <v>#DIV/0!</v>
      </c>
      <c r="G308" s="79">
        <f t="shared" si="71"/>
        <v>5</v>
      </c>
      <c r="H308" s="80">
        <f t="shared" si="72"/>
        <v>2.5</v>
      </c>
      <c r="I308" s="81">
        <f t="shared" si="73"/>
        <v>0</v>
      </c>
      <c r="J308" s="82"/>
      <c r="K308" s="83"/>
      <c r="L308" s="84">
        <f t="shared" si="74"/>
        <v>50</v>
      </c>
      <c r="M308" s="65"/>
      <c r="N308" s="65"/>
      <c r="O308" s="65"/>
      <c r="P308" s="65"/>
      <c r="Q308" s="65"/>
      <c r="R308" s="65"/>
      <c r="S308" s="65"/>
      <c r="T308" s="65"/>
      <c r="U308" s="65"/>
      <c r="V308" s="65"/>
      <c r="W308" s="65"/>
      <c r="X308" s="65"/>
      <c r="Y308" s="65"/>
      <c r="Z308" s="66"/>
      <c r="AA308" s="66"/>
      <c r="AB308" s="66"/>
    </row>
    <row r="309" hidden="1" outlineLevel="1">
      <c r="A309" s="71">
        <v>46659.0</v>
      </c>
      <c r="B309" s="100">
        <f t="shared" si="69"/>
        <v>0</v>
      </c>
      <c r="C309" s="75">
        <v>0.1</v>
      </c>
      <c r="D309" s="76">
        <v>0.05</v>
      </c>
      <c r="E309" s="77">
        <v>3.0</v>
      </c>
      <c r="F309" s="78" t="str">
        <f t="shared" si="70"/>
        <v>#DIV/0!</v>
      </c>
      <c r="G309" s="79">
        <f t="shared" si="71"/>
        <v>5</v>
      </c>
      <c r="H309" s="80">
        <f t="shared" si="72"/>
        <v>2.5</v>
      </c>
      <c r="I309" s="81">
        <f t="shared" si="73"/>
        <v>0</v>
      </c>
      <c r="J309" s="82"/>
      <c r="K309" s="83"/>
      <c r="L309" s="84">
        <f t="shared" si="74"/>
        <v>50</v>
      </c>
      <c r="M309" s="65"/>
      <c r="N309" s="65"/>
      <c r="O309" s="65"/>
      <c r="P309" s="65"/>
      <c r="Q309" s="65"/>
      <c r="R309" s="65"/>
      <c r="S309" s="65"/>
      <c r="T309" s="65"/>
      <c r="U309" s="65"/>
      <c r="V309" s="65"/>
      <c r="W309" s="65"/>
      <c r="X309" s="65"/>
      <c r="Y309" s="65"/>
      <c r="Z309" s="66"/>
      <c r="AA309" s="66"/>
      <c r="AB309" s="66"/>
    </row>
    <row r="310" hidden="1" outlineLevel="1">
      <c r="A310" s="71">
        <v>46660.0</v>
      </c>
      <c r="B310" s="100">
        <f t="shared" si="69"/>
        <v>0</v>
      </c>
      <c r="C310" s="75">
        <v>0.1</v>
      </c>
      <c r="D310" s="76">
        <v>0.05</v>
      </c>
      <c r="E310" s="77">
        <v>3.0</v>
      </c>
      <c r="F310" s="78" t="str">
        <f t="shared" si="70"/>
        <v>#DIV/0!</v>
      </c>
      <c r="G310" s="79">
        <f t="shared" si="71"/>
        <v>5</v>
      </c>
      <c r="H310" s="80">
        <f t="shared" si="72"/>
        <v>2.5</v>
      </c>
      <c r="I310" s="81">
        <f t="shared" si="73"/>
        <v>0</v>
      </c>
      <c r="J310" s="82"/>
      <c r="K310" s="83"/>
      <c r="L310" s="84">
        <f t="shared" si="74"/>
        <v>50</v>
      </c>
      <c r="M310" s="65"/>
      <c r="N310" s="65"/>
      <c r="O310" s="65"/>
      <c r="P310" s="65"/>
      <c r="Q310" s="65"/>
      <c r="R310" s="65"/>
      <c r="S310" s="65"/>
      <c r="T310" s="65"/>
      <c r="U310" s="65"/>
      <c r="V310" s="65"/>
      <c r="W310" s="65"/>
      <c r="X310" s="65"/>
      <c r="Y310" s="65"/>
      <c r="Z310" s="66"/>
      <c r="AA310" s="66"/>
      <c r="AB310" s="66"/>
    </row>
    <row r="311" hidden="1" outlineLevel="1">
      <c r="A311" s="85" t="s">
        <v>41</v>
      </c>
      <c r="C311" s="86">
        <f>SUM(C281:C310)</f>
        <v>3</v>
      </c>
      <c r="D311" s="87"/>
      <c r="E311" s="87"/>
      <c r="F311" s="87"/>
      <c r="G311" s="87"/>
      <c r="H311" s="87"/>
      <c r="I311" s="87" t="str">
        <f t="shared" ref="I311:K311" si="75">SUM(I281:I310)</f>
        <v>#DIV/0!</v>
      </c>
      <c r="J311" s="89">
        <f t="shared" si="75"/>
        <v>0</v>
      </c>
      <c r="K311" s="87">
        <f t="shared" si="75"/>
        <v>0</v>
      </c>
      <c r="L311" s="89">
        <f>L310</f>
        <v>50</v>
      </c>
      <c r="M311" s="65"/>
      <c r="N311" s="65"/>
      <c r="O311" s="65"/>
      <c r="P311" s="65"/>
      <c r="Q311" s="65"/>
      <c r="R311" s="65"/>
      <c r="S311" s="65"/>
      <c r="T311" s="65"/>
      <c r="U311" s="65"/>
      <c r="V311" s="65"/>
      <c r="W311" s="65"/>
      <c r="X311" s="65"/>
      <c r="Y311" s="65"/>
      <c r="Z311" s="66"/>
      <c r="AA311" s="66"/>
      <c r="AB311" s="66"/>
    </row>
    <row r="312">
      <c r="A312" s="95"/>
      <c r="B312" s="92"/>
      <c r="C312" s="92"/>
      <c r="D312" s="92"/>
      <c r="E312" s="92"/>
      <c r="F312" s="92"/>
      <c r="G312" s="92"/>
      <c r="H312" s="92"/>
      <c r="I312" s="92"/>
      <c r="J312" s="92"/>
      <c r="K312" s="94">
        <f>SUM(K281:K310)</f>
        <v>0</v>
      </c>
      <c r="L312" s="92"/>
      <c r="M312" s="65"/>
      <c r="N312" s="65"/>
      <c r="O312" s="65"/>
      <c r="P312" s="65"/>
      <c r="Q312" s="65"/>
      <c r="R312" s="65"/>
      <c r="S312" s="65"/>
      <c r="T312" s="65"/>
      <c r="U312" s="65"/>
      <c r="V312" s="65"/>
      <c r="W312" s="65"/>
      <c r="X312" s="65"/>
      <c r="Y312" s="65"/>
      <c r="Z312" s="66"/>
      <c r="AA312" s="66"/>
      <c r="AB312" s="66"/>
    </row>
    <row r="313" collapsed="1">
      <c r="A313" s="57" t="s">
        <v>51</v>
      </c>
      <c r="M313" s="65"/>
      <c r="N313" s="65"/>
      <c r="O313" s="65"/>
      <c r="P313" s="65"/>
      <c r="Q313" s="65"/>
      <c r="R313" s="65"/>
      <c r="S313" s="65"/>
      <c r="T313" s="65"/>
      <c r="U313" s="65"/>
      <c r="V313" s="65"/>
      <c r="W313" s="65"/>
      <c r="X313" s="65"/>
      <c r="Y313" s="65"/>
      <c r="Z313" s="66"/>
      <c r="AA313" s="66"/>
      <c r="AB313" s="66"/>
    </row>
    <row r="314" hidden="1" outlineLevel="1">
      <c r="A314" s="71" t="s">
        <v>29</v>
      </c>
      <c r="B314" s="57" t="s">
        <v>30</v>
      </c>
      <c r="C314" s="57" t="s">
        <v>31</v>
      </c>
      <c r="D314" s="72" t="s">
        <v>32</v>
      </c>
      <c r="E314" s="72" t="s">
        <v>33</v>
      </c>
      <c r="F314" s="72" t="s">
        <v>34</v>
      </c>
      <c r="G314" s="73" t="s">
        <v>35</v>
      </c>
      <c r="H314" s="72" t="s">
        <v>36</v>
      </c>
      <c r="I314" s="57" t="s">
        <v>37</v>
      </c>
      <c r="J314" s="74" t="s">
        <v>38</v>
      </c>
      <c r="K314" s="57" t="s">
        <v>39</v>
      </c>
      <c r="L314" s="57" t="s">
        <v>40</v>
      </c>
      <c r="M314" s="65"/>
      <c r="N314" s="65"/>
      <c r="O314" s="65"/>
      <c r="P314" s="65"/>
      <c r="Q314" s="65"/>
      <c r="R314" s="65"/>
      <c r="S314" s="65"/>
      <c r="T314" s="65"/>
      <c r="U314" s="65"/>
      <c r="V314" s="65"/>
      <c r="W314" s="65"/>
      <c r="X314" s="65"/>
      <c r="Y314" s="65"/>
      <c r="Z314" s="66"/>
      <c r="AA314" s="66"/>
      <c r="AB314" s="66"/>
    </row>
    <row r="315" hidden="1" outlineLevel="1">
      <c r="A315" s="71">
        <v>46661.0</v>
      </c>
      <c r="B315" s="100">
        <f t="shared" ref="B315:B345" si="76">ROUND(AVERAGE((H315/1000)/E315), 2)</f>
        <v>0</v>
      </c>
      <c r="C315" s="75">
        <v>0.1</v>
      </c>
      <c r="D315" s="76">
        <v>0.05</v>
      </c>
      <c r="E315" s="77">
        <v>3.0</v>
      </c>
      <c r="F315" s="78" t="str">
        <f t="shared" ref="F315:F345" si="77">H315/B315</f>
        <v>#DIV/0!</v>
      </c>
      <c r="G315" s="79">
        <f>L311*C315</f>
        <v>5</v>
      </c>
      <c r="H315" s="80">
        <f>L311*D315</f>
        <v>2.5</v>
      </c>
      <c r="I315" s="81" t="str">
        <f>(J315/B310)*100</f>
        <v>#DIV/0!</v>
      </c>
      <c r="J315" s="82"/>
      <c r="K315" s="83"/>
      <c r="L315" s="84">
        <f>(L311+J315)-K315</f>
        <v>50</v>
      </c>
      <c r="M315" s="65"/>
      <c r="N315" s="65"/>
      <c r="O315" s="65"/>
      <c r="P315" s="65"/>
      <c r="Q315" s="65"/>
      <c r="R315" s="65"/>
      <c r="S315" s="65"/>
      <c r="T315" s="65"/>
      <c r="U315" s="65"/>
      <c r="V315" s="65"/>
      <c r="W315" s="65"/>
      <c r="X315" s="65"/>
      <c r="Y315" s="65"/>
      <c r="Z315" s="66"/>
      <c r="AA315" s="66"/>
      <c r="AB315" s="66"/>
    </row>
    <row r="316" hidden="1" outlineLevel="1">
      <c r="A316" s="71">
        <v>46662.0</v>
      </c>
      <c r="B316" s="100">
        <f t="shared" si="76"/>
        <v>0</v>
      </c>
      <c r="C316" s="75">
        <v>0.1</v>
      </c>
      <c r="D316" s="76">
        <v>0.05</v>
      </c>
      <c r="E316" s="77">
        <v>3.0</v>
      </c>
      <c r="F316" s="78" t="str">
        <f t="shared" si="77"/>
        <v>#DIV/0!</v>
      </c>
      <c r="G316" s="79">
        <f t="shared" ref="G316:G345" si="78">L315*C316</f>
        <v>5</v>
      </c>
      <c r="H316" s="80">
        <f t="shared" ref="H316:H345" si="79">L315*D316</f>
        <v>2.5</v>
      </c>
      <c r="I316" s="81">
        <f t="shared" ref="I316:I345" si="80">(J316/L315)*100</f>
        <v>0</v>
      </c>
      <c r="J316" s="82"/>
      <c r="K316" s="83"/>
      <c r="L316" s="84">
        <f t="shared" ref="L316:L345" si="81">(L315+J316)-K316</f>
        <v>50</v>
      </c>
      <c r="M316" s="65"/>
      <c r="N316" s="65"/>
      <c r="O316" s="65"/>
      <c r="P316" s="65"/>
      <c r="Q316" s="65"/>
      <c r="R316" s="65"/>
      <c r="S316" s="65"/>
      <c r="T316" s="65"/>
      <c r="U316" s="65"/>
      <c r="V316" s="65"/>
      <c r="W316" s="65"/>
      <c r="X316" s="65"/>
      <c r="Y316" s="65"/>
      <c r="Z316" s="66"/>
      <c r="AA316" s="66"/>
      <c r="AB316" s="66"/>
    </row>
    <row r="317" hidden="1" outlineLevel="1">
      <c r="A317" s="71">
        <v>46663.0</v>
      </c>
      <c r="B317" s="100">
        <f t="shared" si="76"/>
        <v>0</v>
      </c>
      <c r="C317" s="75">
        <v>0.1</v>
      </c>
      <c r="D317" s="76">
        <v>0.05</v>
      </c>
      <c r="E317" s="77">
        <v>3.0</v>
      </c>
      <c r="F317" s="78" t="str">
        <f t="shared" si="77"/>
        <v>#DIV/0!</v>
      </c>
      <c r="G317" s="79">
        <f t="shared" si="78"/>
        <v>5</v>
      </c>
      <c r="H317" s="80">
        <f t="shared" si="79"/>
        <v>2.5</v>
      </c>
      <c r="I317" s="81">
        <f t="shared" si="80"/>
        <v>0</v>
      </c>
      <c r="J317" s="82"/>
      <c r="K317" s="83"/>
      <c r="L317" s="84">
        <f t="shared" si="81"/>
        <v>50</v>
      </c>
      <c r="M317" s="65"/>
      <c r="N317" s="65"/>
      <c r="O317" s="65"/>
      <c r="P317" s="65"/>
      <c r="Q317" s="65"/>
      <c r="R317" s="65"/>
      <c r="S317" s="65"/>
      <c r="T317" s="65"/>
      <c r="U317" s="65"/>
      <c r="V317" s="65"/>
      <c r="W317" s="65"/>
      <c r="X317" s="65"/>
      <c r="Y317" s="65"/>
      <c r="Z317" s="66"/>
      <c r="AA317" s="66"/>
      <c r="AB317" s="66"/>
    </row>
    <row r="318" hidden="1" outlineLevel="1">
      <c r="A318" s="71">
        <v>46664.0</v>
      </c>
      <c r="B318" s="100">
        <f t="shared" si="76"/>
        <v>0</v>
      </c>
      <c r="C318" s="75">
        <v>0.1</v>
      </c>
      <c r="D318" s="76">
        <v>0.05</v>
      </c>
      <c r="E318" s="77">
        <v>3.0</v>
      </c>
      <c r="F318" s="78" t="str">
        <f t="shared" si="77"/>
        <v>#DIV/0!</v>
      </c>
      <c r="G318" s="79">
        <f t="shared" si="78"/>
        <v>5</v>
      </c>
      <c r="H318" s="80">
        <f t="shared" si="79"/>
        <v>2.5</v>
      </c>
      <c r="I318" s="81">
        <f t="shared" si="80"/>
        <v>0</v>
      </c>
      <c r="J318" s="82"/>
      <c r="K318" s="83"/>
      <c r="L318" s="84">
        <f t="shared" si="81"/>
        <v>50</v>
      </c>
      <c r="M318" s="65"/>
      <c r="N318" s="65"/>
      <c r="O318" s="65"/>
      <c r="P318" s="65"/>
      <c r="Q318" s="65"/>
      <c r="R318" s="65"/>
      <c r="S318" s="65"/>
      <c r="T318" s="65"/>
      <c r="U318" s="65"/>
      <c r="V318" s="65"/>
      <c r="W318" s="65"/>
      <c r="X318" s="65"/>
      <c r="Y318" s="65"/>
      <c r="Z318" s="66"/>
      <c r="AA318" s="66"/>
      <c r="AB318" s="66"/>
    </row>
    <row r="319" hidden="1" outlineLevel="1">
      <c r="A319" s="71">
        <v>46665.0</v>
      </c>
      <c r="B319" s="100">
        <f t="shared" si="76"/>
        <v>0</v>
      </c>
      <c r="C319" s="75">
        <v>0.1</v>
      </c>
      <c r="D319" s="76">
        <v>0.05</v>
      </c>
      <c r="E319" s="77">
        <v>3.0</v>
      </c>
      <c r="F319" s="78" t="str">
        <f t="shared" si="77"/>
        <v>#DIV/0!</v>
      </c>
      <c r="G319" s="79">
        <f t="shared" si="78"/>
        <v>5</v>
      </c>
      <c r="H319" s="80">
        <f t="shared" si="79"/>
        <v>2.5</v>
      </c>
      <c r="I319" s="81">
        <f t="shared" si="80"/>
        <v>0</v>
      </c>
      <c r="J319" s="82"/>
      <c r="K319" s="83"/>
      <c r="L319" s="84">
        <f t="shared" si="81"/>
        <v>50</v>
      </c>
      <c r="M319" s="65"/>
      <c r="N319" s="65"/>
      <c r="O319" s="65"/>
      <c r="P319" s="65"/>
      <c r="Q319" s="65"/>
      <c r="R319" s="65"/>
      <c r="S319" s="65"/>
      <c r="T319" s="65"/>
      <c r="U319" s="65"/>
      <c r="V319" s="65"/>
      <c r="W319" s="65"/>
      <c r="X319" s="65"/>
      <c r="Y319" s="65"/>
      <c r="Z319" s="66"/>
      <c r="AA319" s="66"/>
      <c r="AB319" s="66"/>
    </row>
    <row r="320" hidden="1" outlineLevel="1">
      <c r="A320" s="71">
        <v>46666.0</v>
      </c>
      <c r="B320" s="100">
        <f t="shared" si="76"/>
        <v>0</v>
      </c>
      <c r="C320" s="75">
        <v>0.1</v>
      </c>
      <c r="D320" s="76">
        <v>0.05</v>
      </c>
      <c r="E320" s="77">
        <v>3.0</v>
      </c>
      <c r="F320" s="78" t="str">
        <f t="shared" si="77"/>
        <v>#DIV/0!</v>
      </c>
      <c r="G320" s="79">
        <f t="shared" si="78"/>
        <v>5</v>
      </c>
      <c r="H320" s="80">
        <f t="shared" si="79"/>
        <v>2.5</v>
      </c>
      <c r="I320" s="81">
        <f t="shared" si="80"/>
        <v>0</v>
      </c>
      <c r="J320" s="82"/>
      <c r="K320" s="83"/>
      <c r="L320" s="84">
        <f t="shared" si="81"/>
        <v>50</v>
      </c>
      <c r="M320" s="65"/>
      <c r="N320" s="65"/>
      <c r="O320" s="65"/>
      <c r="P320" s="65"/>
      <c r="Q320" s="65"/>
      <c r="R320" s="65"/>
      <c r="S320" s="65"/>
      <c r="T320" s="65"/>
      <c r="U320" s="65"/>
      <c r="V320" s="65"/>
      <c r="W320" s="65"/>
      <c r="X320" s="65"/>
      <c r="Y320" s="65"/>
      <c r="Z320" s="66"/>
      <c r="AA320" s="66"/>
      <c r="AB320" s="66"/>
    </row>
    <row r="321" hidden="1" outlineLevel="1">
      <c r="A321" s="71">
        <v>46667.0</v>
      </c>
      <c r="B321" s="100">
        <f t="shared" si="76"/>
        <v>0</v>
      </c>
      <c r="C321" s="75">
        <v>0.1</v>
      </c>
      <c r="D321" s="76">
        <v>0.05</v>
      </c>
      <c r="E321" s="77">
        <v>3.0</v>
      </c>
      <c r="F321" s="78" t="str">
        <f t="shared" si="77"/>
        <v>#DIV/0!</v>
      </c>
      <c r="G321" s="79">
        <f t="shared" si="78"/>
        <v>5</v>
      </c>
      <c r="H321" s="80">
        <f t="shared" si="79"/>
        <v>2.5</v>
      </c>
      <c r="I321" s="81">
        <f t="shared" si="80"/>
        <v>0</v>
      </c>
      <c r="J321" s="82"/>
      <c r="K321" s="83"/>
      <c r="L321" s="84">
        <f t="shared" si="81"/>
        <v>50</v>
      </c>
      <c r="M321" s="65"/>
      <c r="N321" s="65"/>
      <c r="O321" s="65"/>
      <c r="P321" s="65"/>
      <c r="Q321" s="65"/>
      <c r="R321" s="65"/>
      <c r="S321" s="65"/>
      <c r="T321" s="65"/>
      <c r="U321" s="65"/>
      <c r="V321" s="65"/>
      <c r="W321" s="65"/>
      <c r="X321" s="65"/>
      <c r="Y321" s="65"/>
      <c r="Z321" s="66"/>
      <c r="AA321" s="66"/>
      <c r="AB321" s="66"/>
    </row>
    <row r="322" hidden="1" outlineLevel="1">
      <c r="A322" s="71">
        <v>46668.0</v>
      </c>
      <c r="B322" s="100">
        <f t="shared" si="76"/>
        <v>0</v>
      </c>
      <c r="C322" s="75">
        <v>0.1</v>
      </c>
      <c r="D322" s="76">
        <v>0.05</v>
      </c>
      <c r="E322" s="77">
        <v>3.0</v>
      </c>
      <c r="F322" s="78" t="str">
        <f t="shared" si="77"/>
        <v>#DIV/0!</v>
      </c>
      <c r="G322" s="79">
        <f t="shared" si="78"/>
        <v>5</v>
      </c>
      <c r="H322" s="80">
        <f t="shared" si="79"/>
        <v>2.5</v>
      </c>
      <c r="I322" s="81">
        <f t="shared" si="80"/>
        <v>0</v>
      </c>
      <c r="J322" s="82"/>
      <c r="K322" s="83"/>
      <c r="L322" s="84">
        <f t="shared" si="81"/>
        <v>50</v>
      </c>
      <c r="M322" s="65"/>
      <c r="N322" s="65"/>
      <c r="O322" s="65"/>
      <c r="P322" s="65"/>
      <c r="Q322" s="65"/>
      <c r="R322" s="65"/>
      <c r="S322" s="65"/>
      <c r="T322" s="65"/>
      <c r="U322" s="65"/>
      <c r="V322" s="65"/>
      <c r="W322" s="65"/>
      <c r="X322" s="65"/>
      <c r="Y322" s="65"/>
      <c r="Z322" s="66"/>
      <c r="AA322" s="66"/>
      <c r="AB322" s="66"/>
    </row>
    <row r="323" hidden="1" outlineLevel="1">
      <c r="A323" s="71">
        <v>46669.0</v>
      </c>
      <c r="B323" s="100">
        <f t="shared" si="76"/>
        <v>0</v>
      </c>
      <c r="C323" s="75">
        <v>0.1</v>
      </c>
      <c r="D323" s="76">
        <v>0.05</v>
      </c>
      <c r="E323" s="77">
        <v>3.0</v>
      </c>
      <c r="F323" s="78" t="str">
        <f t="shared" si="77"/>
        <v>#DIV/0!</v>
      </c>
      <c r="G323" s="79">
        <f t="shared" si="78"/>
        <v>5</v>
      </c>
      <c r="H323" s="80">
        <f t="shared" si="79"/>
        <v>2.5</v>
      </c>
      <c r="I323" s="81">
        <f t="shared" si="80"/>
        <v>0</v>
      </c>
      <c r="J323" s="82"/>
      <c r="K323" s="83"/>
      <c r="L323" s="84">
        <f t="shared" si="81"/>
        <v>50</v>
      </c>
      <c r="M323" s="65"/>
      <c r="N323" s="65"/>
      <c r="O323" s="65"/>
      <c r="P323" s="65"/>
      <c r="Q323" s="65"/>
      <c r="R323" s="65"/>
      <c r="S323" s="65"/>
      <c r="T323" s="65"/>
      <c r="U323" s="65"/>
      <c r="V323" s="65"/>
      <c r="W323" s="65"/>
      <c r="X323" s="65"/>
      <c r="Y323" s="65"/>
      <c r="Z323" s="66"/>
      <c r="AA323" s="66"/>
      <c r="AB323" s="66"/>
    </row>
    <row r="324" hidden="1" outlineLevel="1">
      <c r="A324" s="71">
        <v>46670.0</v>
      </c>
      <c r="B324" s="100">
        <f t="shared" si="76"/>
        <v>0</v>
      </c>
      <c r="C324" s="75">
        <v>0.1</v>
      </c>
      <c r="D324" s="76">
        <v>0.05</v>
      </c>
      <c r="E324" s="77">
        <v>3.0</v>
      </c>
      <c r="F324" s="78" t="str">
        <f t="shared" si="77"/>
        <v>#DIV/0!</v>
      </c>
      <c r="G324" s="79">
        <f t="shared" si="78"/>
        <v>5</v>
      </c>
      <c r="H324" s="80">
        <f t="shared" si="79"/>
        <v>2.5</v>
      </c>
      <c r="I324" s="81">
        <f t="shared" si="80"/>
        <v>0</v>
      </c>
      <c r="J324" s="82"/>
      <c r="K324" s="83"/>
      <c r="L324" s="84">
        <f t="shared" si="81"/>
        <v>50</v>
      </c>
      <c r="M324" s="65"/>
      <c r="N324" s="65"/>
      <c r="O324" s="65"/>
      <c r="P324" s="65"/>
      <c r="Q324" s="65"/>
      <c r="R324" s="65"/>
      <c r="S324" s="65"/>
      <c r="T324" s="65"/>
      <c r="U324" s="65"/>
      <c r="V324" s="65"/>
      <c r="W324" s="65"/>
      <c r="X324" s="65"/>
      <c r="Y324" s="65"/>
      <c r="Z324" s="66"/>
      <c r="AA324" s="66"/>
      <c r="AB324" s="66"/>
    </row>
    <row r="325" hidden="1" outlineLevel="1">
      <c r="A325" s="71">
        <v>46671.0</v>
      </c>
      <c r="B325" s="100">
        <f t="shared" si="76"/>
        <v>0</v>
      </c>
      <c r="C325" s="75">
        <v>0.1</v>
      </c>
      <c r="D325" s="76">
        <v>0.05</v>
      </c>
      <c r="E325" s="77">
        <v>3.0</v>
      </c>
      <c r="F325" s="78" t="str">
        <f t="shared" si="77"/>
        <v>#DIV/0!</v>
      </c>
      <c r="G325" s="79">
        <f t="shared" si="78"/>
        <v>5</v>
      </c>
      <c r="H325" s="80">
        <f t="shared" si="79"/>
        <v>2.5</v>
      </c>
      <c r="I325" s="81">
        <f t="shared" si="80"/>
        <v>0</v>
      </c>
      <c r="J325" s="82"/>
      <c r="K325" s="83"/>
      <c r="L325" s="84">
        <f t="shared" si="81"/>
        <v>50</v>
      </c>
      <c r="M325" s="65"/>
      <c r="N325" s="65"/>
      <c r="O325" s="65"/>
      <c r="P325" s="65"/>
      <c r="Q325" s="65"/>
      <c r="R325" s="65"/>
      <c r="S325" s="65"/>
      <c r="T325" s="65"/>
      <c r="U325" s="65"/>
      <c r="V325" s="65"/>
      <c r="W325" s="65"/>
      <c r="X325" s="65"/>
      <c r="Y325" s="65"/>
      <c r="Z325" s="66"/>
      <c r="AA325" s="66"/>
      <c r="AB325" s="66"/>
    </row>
    <row r="326" hidden="1" outlineLevel="1">
      <c r="A326" s="71">
        <v>46672.0</v>
      </c>
      <c r="B326" s="100">
        <f t="shared" si="76"/>
        <v>0</v>
      </c>
      <c r="C326" s="75">
        <v>0.1</v>
      </c>
      <c r="D326" s="76">
        <v>0.05</v>
      </c>
      <c r="E326" s="77">
        <v>3.0</v>
      </c>
      <c r="F326" s="78" t="str">
        <f t="shared" si="77"/>
        <v>#DIV/0!</v>
      </c>
      <c r="G326" s="79">
        <f t="shared" si="78"/>
        <v>5</v>
      </c>
      <c r="H326" s="80">
        <f t="shared" si="79"/>
        <v>2.5</v>
      </c>
      <c r="I326" s="81">
        <f t="shared" si="80"/>
        <v>0</v>
      </c>
      <c r="J326" s="82"/>
      <c r="K326" s="83"/>
      <c r="L326" s="84">
        <f t="shared" si="81"/>
        <v>50</v>
      </c>
      <c r="M326" s="65"/>
      <c r="N326" s="65"/>
      <c r="O326" s="65"/>
      <c r="P326" s="65"/>
      <c r="Q326" s="65"/>
      <c r="R326" s="65"/>
      <c r="S326" s="65"/>
      <c r="T326" s="65"/>
      <c r="U326" s="65"/>
      <c r="V326" s="65"/>
      <c r="W326" s="65"/>
      <c r="X326" s="65"/>
      <c r="Y326" s="65"/>
      <c r="Z326" s="66"/>
      <c r="AA326" s="66"/>
      <c r="AB326" s="66"/>
    </row>
    <row r="327" hidden="1" outlineLevel="1">
      <c r="A327" s="71">
        <v>46673.0</v>
      </c>
      <c r="B327" s="100">
        <f t="shared" si="76"/>
        <v>0</v>
      </c>
      <c r="C327" s="75">
        <v>0.1</v>
      </c>
      <c r="D327" s="76">
        <v>0.05</v>
      </c>
      <c r="E327" s="77">
        <v>3.0</v>
      </c>
      <c r="F327" s="78" t="str">
        <f t="shared" si="77"/>
        <v>#DIV/0!</v>
      </c>
      <c r="G327" s="79">
        <f t="shared" si="78"/>
        <v>5</v>
      </c>
      <c r="H327" s="80">
        <f t="shared" si="79"/>
        <v>2.5</v>
      </c>
      <c r="I327" s="81">
        <f t="shared" si="80"/>
        <v>0</v>
      </c>
      <c r="J327" s="82"/>
      <c r="K327" s="83"/>
      <c r="L327" s="84">
        <f t="shared" si="81"/>
        <v>50</v>
      </c>
      <c r="M327" s="65"/>
      <c r="N327" s="65"/>
      <c r="O327" s="65"/>
      <c r="P327" s="65"/>
      <c r="Q327" s="65"/>
      <c r="R327" s="65"/>
      <c r="S327" s="65"/>
      <c r="T327" s="65"/>
      <c r="U327" s="65"/>
      <c r="V327" s="65"/>
      <c r="W327" s="65"/>
      <c r="X327" s="65"/>
      <c r="Y327" s="65"/>
      <c r="Z327" s="66"/>
      <c r="AA327" s="66"/>
      <c r="AB327" s="66"/>
    </row>
    <row r="328" hidden="1" outlineLevel="1">
      <c r="A328" s="71">
        <v>46674.0</v>
      </c>
      <c r="B328" s="100">
        <f t="shared" si="76"/>
        <v>0</v>
      </c>
      <c r="C328" s="75">
        <v>0.1</v>
      </c>
      <c r="D328" s="76">
        <v>0.05</v>
      </c>
      <c r="E328" s="77">
        <v>3.0</v>
      </c>
      <c r="F328" s="78" t="str">
        <f t="shared" si="77"/>
        <v>#DIV/0!</v>
      </c>
      <c r="G328" s="79">
        <f t="shared" si="78"/>
        <v>5</v>
      </c>
      <c r="H328" s="80">
        <f t="shared" si="79"/>
        <v>2.5</v>
      </c>
      <c r="I328" s="81">
        <f t="shared" si="80"/>
        <v>0</v>
      </c>
      <c r="J328" s="82"/>
      <c r="K328" s="83"/>
      <c r="L328" s="84">
        <f t="shared" si="81"/>
        <v>50</v>
      </c>
      <c r="M328" s="65"/>
      <c r="N328" s="65"/>
      <c r="O328" s="65"/>
      <c r="P328" s="65"/>
      <c r="Q328" s="65"/>
      <c r="R328" s="65"/>
      <c r="S328" s="65"/>
      <c r="T328" s="65"/>
      <c r="U328" s="65"/>
      <c r="V328" s="65"/>
      <c r="W328" s="65"/>
      <c r="X328" s="65"/>
      <c r="Y328" s="65"/>
      <c r="Z328" s="66"/>
      <c r="AA328" s="66"/>
      <c r="AB328" s="66"/>
    </row>
    <row r="329" hidden="1" outlineLevel="1">
      <c r="A329" s="71">
        <v>46675.0</v>
      </c>
      <c r="B329" s="100">
        <f t="shared" si="76"/>
        <v>0</v>
      </c>
      <c r="C329" s="75">
        <v>0.1</v>
      </c>
      <c r="D329" s="76">
        <v>0.05</v>
      </c>
      <c r="E329" s="77">
        <v>3.0</v>
      </c>
      <c r="F329" s="78" t="str">
        <f t="shared" si="77"/>
        <v>#DIV/0!</v>
      </c>
      <c r="G329" s="79">
        <f t="shared" si="78"/>
        <v>5</v>
      </c>
      <c r="H329" s="80">
        <f t="shared" si="79"/>
        <v>2.5</v>
      </c>
      <c r="I329" s="81">
        <f t="shared" si="80"/>
        <v>0</v>
      </c>
      <c r="J329" s="82"/>
      <c r="K329" s="83"/>
      <c r="L329" s="84">
        <f t="shared" si="81"/>
        <v>50</v>
      </c>
      <c r="M329" s="65"/>
      <c r="N329" s="65"/>
      <c r="O329" s="65"/>
      <c r="P329" s="65"/>
      <c r="Q329" s="65"/>
      <c r="R329" s="65"/>
      <c r="S329" s="65"/>
      <c r="T329" s="65"/>
      <c r="U329" s="65"/>
      <c r="V329" s="65"/>
      <c r="W329" s="65"/>
      <c r="X329" s="65"/>
      <c r="Y329" s="65"/>
      <c r="Z329" s="66"/>
      <c r="AA329" s="66"/>
      <c r="AB329" s="66"/>
    </row>
    <row r="330" hidden="1" outlineLevel="1">
      <c r="A330" s="71">
        <v>46676.0</v>
      </c>
      <c r="B330" s="100">
        <f t="shared" si="76"/>
        <v>0</v>
      </c>
      <c r="C330" s="75">
        <v>0.1</v>
      </c>
      <c r="D330" s="76">
        <v>0.05</v>
      </c>
      <c r="E330" s="77">
        <v>3.0</v>
      </c>
      <c r="F330" s="78" t="str">
        <f t="shared" si="77"/>
        <v>#DIV/0!</v>
      </c>
      <c r="G330" s="79">
        <f t="shared" si="78"/>
        <v>5</v>
      </c>
      <c r="H330" s="80">
        <f t="shared" si="79"/>
        <v>2.5</v>
      </c>
      <c r="I330" s="81">
        <f t="shared" si="80"/>
        <v>0</v>
      </c>
      <c r="J330" s="82"/>
      <c r="K330" s="83"/>
      <c r="L330" s="84">
        <f t="shared" si="81"/>
        <v>50</v>
      </c>
      <c r="M330" s="65"/>
      <c r="N330" s="65"/>
      <c r="O330" s="65"/>
      <c r="P330" s="65"/>
      <c r="Q330" s="65"/>
      <c r="R330" s="65"/>
      <c r="S330" s="65"/>
      <c r="T330" s="65"/>
      <c r="U330" s="65"/>
      <c r="V330" s="65"/>
      <c r="W330" s="65"/>
      <c r="X330" s="65"/>
      <c r="Y330" s="65"/>
      <c r="Z330" s="66"/>
      <c r="AA330" s="66"/>
      <c r="AB330" s="66"/>
    </row>
    <row r="331" hidden="1" outlineLevel="1">
      <c r="A331" s="71">
        <v>46677.0</v>
      </c>
      <c r="B331" s="100">
        <f t="shared" si="76"/>
        <v>0</v>
      </c>
      <c r="C331" s="75">
        <v>0.1</v>
      </c>
      <c r="D331" s="76">
        <v>0.05</v>
      </c>
      <c r="E331" s="77">
        <v>3.0</v>
      </c>
      <c r="F331" s="78" t="str">
        <f t="shared" si="77"/>
        <v>#DIV/0!</v>
      </c>
      <c r="G331" s="79">
        <f t="shared" si="78"/>
        <v>5</v>
      </c>
      <c r="H331" s="80">
        <f t="shared" si="79"/>
        <v>2.5</v>
      </c>
      <c r="I331" s="81">
        <f t="shared" si="80"/>
        <v>0</v>
      </c>
      <c r="J331" s="82"/>
      <c r="K331" s="83"/>
      <c r="L331" s="84">
        <f t="shared" si="81"/>
        <v>50</v>
      </c>
      <c r="M331" s="65"/>
      <c r="N331" s="65"/>
      <c r="O331" s="65"/>
      <c r="P331" s="65"/>
      <c r="Q331" s="65"/>
      <c r="R331" s="65"/>
      <c r="S331" s="65"/>
      <c r="T331" s="65"/>
      <c r="U331" s="65"/>
      <c r="V331" s="65"/>
      <c r="W331" s="65"/>
      <c r="X331" s="65"/>
      <c r="Y331" s="65"/>
      <c r="Z331" s="66"/>
      <c r="AA331" s="66"/>
      <c r="AB331" s="66"/>
    </row>
    <row r="332" hidden="1" outlineLevel="1">
      <c r="A332" s="71">
        <v>46678.0</v>
      </c>
      <c r="B332" s="100">
        <f t="shared" si="76"/>
        <v>0</v>
      </c>
      <c r="C332" s="75">
        <v>0.1</v>
      </c>
      <c r="D332" s="76">
        <v>0.05</v>
      </c>
      <c r="E332" s="77">
        <v>3.0</v>
      </c>
      <c r="F332" s="78" t="str">
        <f t="shared" si="77"/>
        <v>#DIV/0!</v>
      </c>
      <c r="G332" s="79">
        <f t="shared" si="78"/>
        <v>5</v>
      </c>
      <c r="H332" s="80">
        <f t="shared" si="79"/>
        <v>2.5</v>
      </c>
      <c r="I332" s="81">
        <f t="shared" si="80"/>
        <v>0</v>
      </c>
      <c r="J332" s="82"/>
      <c r="K332" s="83"/>
      <c r="L332" s="84">
        <f t="shared" si="81"/>
        <v>50</v>
      </c>
      <c r="M332" s="65"/>
      <c r="N332" s="65"/>
      <c r="O332" s="65"/>
      <c r="P332" s="65"/>
      <c r="Q332" s="65"/>
      <c r="R332" s="65"/>
      <c r="S332" s="65"/>
      <c r="T332" s="65"/>
      <c r="U332" s="65"/>
      <c r="V332" s="65"/>
      <c r="W332" s="65"/>
      <c r="X332" s="65"/>
      <c r="Y332" s="65"/>
      <c r="Z332" s="66"/>
      <c r="AA332" s="66"/>
      <c r="AB332" s="66"/>
    </row>
    <row r="333" hidden="1" outlineLevel="1">
      <c r="A333" s="71">
        <v>46679.0</v>
      </c>
      <c r="B333" s="100">
        <f t="shared" si="76"/>
        <v>0</v>
      </c>
      <c r="C333" s="75">
        <v>0.1</v>
      </c>
      <c r="D333" s="76">
        <v>0.05</v>
      </c>
      <c r="E333" s="77">
        <v>3.0</v>
      </c>
      <c r="F333" s="78" t="str">
        <f t="shared" si="77"/>
        <v>#DIV/0!</v>
      </c>
      <c r="G333" s="79">
        <f t="shared" si="78"/>
        <v>5</v>
      </c>
      <c r="H333" s="80">
        <f t="shared" si="79"/>
        <v>2.5</v>
      </c>
      <c r="I333" s="81">
        <f t="shared" si="80"/>
        <v>0</v>
      </c>
      <c r="J333" s="82"/>
      <c r="K333" s="83"/>
      <c r="L333" s="84">
        <f t="shared" si="81"/>
        <v>50</v>
      </c>
      <c r="M333" s="65"/>
      <c r="N333" s="65"/>
      <c r="O333" s="65"/>
      <c r="P333" s="65"/>
      <c r="Q333" s="65"/>
      <c r="R333" s="65"/>
      <c r="S333" s="65"/>
      <c r="T333" s="65"/>
      <c r="U333" s="65"/>
      <c r="V333" s="65"/>
      <c r="W333" s="65"/>
      <c r="X333" s="65"/>
      <c r="Y333" s="65"/>
      <c r="Z333" s="66"/>
      <c r="AA333" s="66"/>
      <c r="AB333" s="66"/>
    </row>
    <row r="334" hidden="1" outlineLevel="1">
      <c r="A334" s="71">
        <v>46680.0</v>
      </c>
      <c r="B334" s="100">
        <f t="shared" si="76"/>
        <v>0</v>
      </c>
      <c r="C334" s="75">
        <v>0.1</v>
      </c>
      <c r="D334" s="76">
        <v>0.05</v>
      </c>
      <c r="E334" s="77">
        <v>3.0</v>
      </c>
      <c r="F334" s="78" t="str">
        <f t="shared" si="77"/>
        <v>#DIV/0!</v>
      </c>
      <c r="G334" s="79">
        <f t="shared" si="78"/>
        <v>5</v>
      </c>
      <c r="H334" s="80">
        <f t="shared" si="79"/>
        <v>2.5</v>
      </c>
      <c r="I334" s="81">
        <f t="shared" si="80"/>
        <v>0</v>
      </c>
      <c r="J334" s="82"/>
      <c r="K334" s="83"/>
      <c r="L334" s="84">
        <f t="shared" si="81"/>
        <v>50</v>
      </c>
      <c r="M334" s="65"/>
      <c r="N334" s="65"/>
      <c r="O334" s="65"/>
      <c r="P334" s="65"/>
      <c r="Q334" s="65"/>
      <c r="R334" s="65"/>
      <c r="S334" s="65"/>
      <c r="T334" s="65"/>
      <c r="U334" s="65"/>
      <c r="V334" s="65"/>
      <c r="W334" s="65"/>
      <c r="X334" s="65"/>
      <c r="Y334" s="65"/>
      <c r="Z334" s="66"/>
      <c r="AA334" s="66"/>
      <c r="AB334" s="66"/>
    </row>
    <row r="335" hidden="1" outlineLevel="1">
      <c r="A335" s="71">
        <v>46681.0</v>
      </c>
      <c r="B335" s="100">
        <f t="shared" si="76"/>
        <v>0</v>
      </c>
      <c r="C335" s="75">
        <v>0.1</v>
      </c>
      <c r="D335" s="76">
        <v>0.05</v>
      </c>
      <c r="E335" s="77">
        <v>3.0</v>
      </c>
      <c r="F335" s="78" t="str">
        <f t="shared" si="77"/>
        <v>#DIV/0!</v>
      </c>
      <c r="G335" s="79">
        <f t="shared" si="78"/>
        <v>5</v>
      </c>
      <c r="H335" s="80">
        <f t="shared" si="79"/>
        <v>2.5</v>
      </c>
      <c r="I335" s="81">
        <f t="shared" si="80"/>
        <v>0</v>
      </c>
      <c r="J335" s="82"/>
      <c r="K335" s="83"/>
      <c r="L335" s="84">
        <f t="shared" si="81"/>
        <v>50</v>
      </c>
      <c r="M335" s="65"/>
      <c r="N335" s="65"/>
      <c r="O335" s="65"/>
      <c r="P335" s="65"/>
      <c r="Q335" s="65"/>
      <c r="R335" s="65"/>
      <c r="S335" s="65"/>
      <c r="T335" s="65"/>
      <c r="U335" s="65"/>
      <c r="V335" s="65"/>
      <c r="W335" s="65"/>
      <c r="X335" s="65"/>
      <c r="Y335" s="65"/>
      <c r="Z335" s="66"/>
      <c r="AA335" s="66"/>
      <c r="AB335" s="66"/>
    </row>
    <row r="336" hidden="1" outlineLevel="1">
      <c r="A336" s="71">
        <v>46682.0</v>
      </c>
      <c r="B336" s="100">
        <f t="shared" si="76"/>
        <v>0</v>
      </c>
      <c r="C336" s="75">
        <v>0.1</v>
      </c>
      <c r="D336" s="76">
        <v>0.05</v>
      </c>
      <c r="E336" s="77">
        <v>3.0</v>
      </c>
      <c r="F336" s="78" t="str">
        <f t="shared" si="77"/>
        <v>#DIV/0!</v>
      </c>
      <c r="G336" s="79">
        <f t="shared" si="78"/>
        <v>5</v>
      </c>
      <c r="H336" s="80">
        <f t="shared" si="79"/>
        <v>2.5</v>
      </c>
      <c r="I336" s="81">
        <f t="shared" si="80"/>
        <v>0</v>
      </c>
      <c r="J336" s="82"/>
      <c r="K336" s="83"/>
      <c r="L336" s="84">
        <f t="shared" si="81"/>
        <v>50</v>
      </c>
      <c r="M336" s="65"/>
      <c r="N336" s="65"/>
      <c r="O336" s="65"/>
      <c r="P336" s="65"/>
      <c r="Q336" s="65"/>
      <c r="R336" s="65"/>
      <c r="S336" s="65"/>
      <c r="T336" s="65"/>
      <c r="U336" s="65"/>
      <c r="V336" s="65"/>
      <c r="W336" s="65"/>
      <c r="X336" s="65"/>
      <c r="Y336" s="65"/>
      <c r="Z336" s="66"/>
      <c r="AA336" s="66"/>
      <c r="AB336" s="66"/>
    </row>
    <row r="337" hidden="1" outlineLevel="1">
      <c r="A337" s="71">
        <v>46683.0</v>
      </c>
      <c r="B337" s="100">
        <f t="shared" si="76"/>
        <v>0</v>
      </c>
      <c r="C337" s="75">
        <v>0.1</v>
      </c>
      <c r="D337" s="76">
        <v>0.05</v>
      </c>
      <c r="E337" s="77">
        <v>3.0</v>
      </c>
      <c r="F337" s="78" t="str">
        <f t="shared" si="77"/>
        <v>#DIV/0!</v>
      </c>
      <c r="G337" s="79">
        <f t="shared" si="78"/>
        <v>5</v>
      </c>
      <c r="H337" s="80">
        <f t="shared" si="79"/>
        <v>2.5</v>
      </c>
      <c r="I337" s="81">
        <f t="shared" si="80"/>
        <v>0</v>
      </c>
      <c r="J337" s="82"/>
      <c r="K337" s="83"/>
      <c r="L337" s="84">
        <f t="shared" si="81"/>
        <v>50</v>
      </c>
      <c r="M337" s="65"/>
      <c r="N337" s="65"/>
      <c r="O337" s="65"/>
      <c r="P337" s="65"/>
      <c r="Q337" s="65"/>
      <c r="R337" s="65"/>
      <c r="S337" s="65"/>
      <c r="T337" s="65"/>
      <c r="U337" s="65"/>
      <c r="V337" s="65"/>
      <c r="W337" s="65"/>
      <c r="X337" s="65"/>
      <c r="Y337" s="65"/>
      <c r="Z337" s="66"/>
      <c r="AA337" s="66"/>
      <c r="AB337" s="66"/>
    </row>
    <row r="338" hidden="1" outlineLevel="1">
      <c r="A338" s="71">
        <v>46684.0</v>
      </c>
      <c r="B338" s="100">
        <f t="shared" si="76"/>
        <v>0</v>
      </c>
      <c r="C338" s="75">
        <v>0.1</v>
      </c>
      <c r="D338" s="76">
        <v>0.05</v>
      </c>
      <c r="E338" s="77">
        <v>3.0</v>
      </c>
      <c r="F338" s="78" t="str">
        <f t="shared" si="77"/>
        <v>#DIV/0!</v>
      </c>
      <c r="G338" s="79">
        <f t="shared" si="78"/>
        <v>5</v>
      </c>
      <c r="H338" s="80">
        <f t="shared" si="79"/>
        <v>2.5</v>
      </c>
      <c r="I338" s="81">
        <f t="shared" si="80"/>
        <v>0</v>
      </c>
      <c r="J338" s="82"/>
      <c r="K338" s="83"/>
      <c r="L338" s="84">
        <f t="shared" si="81"/>
        <v>50</v>
      </c>
      <c r="M338" s="65"/>
      <c r="N338" s="65"/>
      <c r="O338" s="65"/>
      <c r="P338" s="65"/>
      <c r="Q338" s="65"/>
      <c r="R338" s="65"/>
      <c r="S338" s="65"/>
      <c r="T338" s="65"/>
      <c r="U338" s="65"/>
      <c r="V338" s="65"/>
      <c r="W338" s="65"/>
      <c r="X338" s="65"/>
      <c r="Y338" s="65"/>
      <c r="Z338" s="66"/>
      <c r="AA338" s="66"/>
      <c r="AB338" s="66"/>
    </row>
    <row r="339" hidden="1" outlineLevel="1">
      <c r="A339" s="71">
        <v>46685.0</v>
      </c>
      <c r="B339" s="100">
        <f t="shared" si="76"/>
        <v>0</v>
      </c>
      <c r="C339" s="75">
        <v>0.1</v>
      </c>
      <c r="D339" s="76">
        <v>0.05</v>
      </c>
      <c r="E339" s="77">
        <v>3.0</v>
      </c>
      <c r="F339" s="78" t="str">
        <f t="shared" si="77"/>
        <v>#DIV/0!</v>
      </c>
      <c r="G339" s="79">
        <f t="shared" si="78"/>
        <v>5</v>
      </c>
      <c r="H339" s="80">
        <f t="shared" si="79"/>
        <v>2.5</v>
      </c>
      <c r="I339" s="81">
        <f t="shared" si="80"/>
        <v>0</v>
      </c>
      <c r="J339" s="82"/>
      <c r="K339" s="83"/>
      <c r="L339" s="84">
        <f t="shared" si="81"/>
        <v>50</v>
      </c>
      <c r="M339" s="65"/>
      <c r="N339" s="65"/>
      <c r="O339" s="65"/>
      <c r="P339" s="65"/>
      <c r="Q339" s="65"/>
      <c r="R339" s="65"/>
      <c r="S339" s="65"/>
      <c r="T339" s="65"/>
      <c r="U339" s="65"/>
      <c r="V339" s="65"/>
      <c r="W339" s="65"/>
      <c r="X339" s="65"/>
      <c r="Y339" s="65"/>
      <c r="Z339" s="66"/>
      <c r="AA339" s="66"/>
      <c r="AB339" s="66"/>
    </row>
    <row r="340" hidden="1" outlineLevel="1">
      <c r="A340" s="71">
        <v>46686.0</v>
      </c>
      <c r="B340" s="100">
        <f t="shared" si="76"/>
        <v>0</v>
      </c>
      <c r="C340" s="75">
        <v>0.1</v>
      </c>
      <c r="D340" s="76">
        <v>0.05</v>
      </c>
      <c r="E340" s="77">
        <v>3.0</v>
      </c>
      <c r="F340" s="78" t="str">
        <f t="shared" si="77"/>
        <v>#DIV/0!</v>
      </c>
      <c r="G340" s="79">
        <f t="shared" si="78"/>
        <v>5</v>
      </c>
      <c r="H340" s="80">
        <f t="shared" si="79"/>
        <v>2.5</v>
      </c>
      <c r="I340" s="81">
        <f t="shared" si="80"/>
        <v>0</v>
      </c>
      <c r="J340" s="82"/>
      <c r="K340" s="83"/>
      <c r="L340" s="84">
        <f t="shared" si="81"/>
        <v>50</v>
      </c>
      <c r="M340" s="65"/>
      <c r="N340" s="65"/>
      <c r="O340" s="65"/>
      <c r="P340" s="65"/>
      <c r="Q340" s="65"/>
      <c r="R340" s="65"/>
      <c r="S340" s="65"/>
      <c r="T340" s="65"/>
      <c r="U340" s="65"/>
      <c r="V340" s="65"/>
      <c r="W340" s="65"/>
      <c r="X340" s="65"/>
      <c r="Y340" s="65"/>
      <c r="Z340" s="66"/>
      <c r="AA340" s="66"/>
      <c r="AB340" s="66"/>
    </row>
    <row r="341" hidden="1" outlineLevel="1">
      <c r="A341" s="71">
        <v>46687.0</v>
      </c>
      <c r="B341" s="100">
        <f t="shared" si="76"/>
        <v>0</v>
      </c>
      <c r="C341" s="75">
        <v>0.1</v>
      </c>
      <c r="D341" s="76">
        <v>0.05</v>
      </c>
      <c r="E341" s="77">
        <v>3.0</v>
      </c>
      <c r="F341" s="78" t="str">
        <f t="shared" si="77"/>
        <v>#DIV/0!</v>
      </c>
      <c r="G341" s="79">
        <f t="shared" si="78"/>
        <v>5</v>
      </c>
      <c r="H341" s="80">
        <f t="shared" si="79"/>
        <v>2.5</v>
      </c>
      <c r="I341" s="81">
        <f t="shared" si="80"/>
        <v>0</v>
      </c>
      <c r="J341" s="82"/>
      <c r="K341" s="83"/>
      <c r="L341" s="84">
        <f t="shared" si="81"/>
        <v>50</v>
      </c>
      <c r="M341" s="65"/>
      <c r="N341" s="65"/>
      <c r="O341" s="65"/>
      <c r="P341" s="65"/>
      <c r="Q341" s="65"/>
      <c r="R341" s="65"/>
      <c r="S341" s="65"/>
      <c r="T341" s="65"/>
      <c r="U341" s="65"/>
      <c r="V341" s="65"/>
      <c r="W341" s="65"/>
      <c r="X341" s="65"/>
      <c r="Y341" s="65"/>
      <c r="Z341" s="66"/>
      <c r="AA341" s="66"/>
      <c r="AB341" s="66"/>
    </row>
    <row r="342" hidden="1" outlineLevel="1">
      <c r="A342" s="71">
        <v>46688.0</v>
      </c>
      <c r="B342" s="100">
        <f t="shared" si="76"/>
        <v>0</v>
      </c>
      <c r="C342" s="75">
        <v>0.1</v>
      </c>
      <c r="D342" s="76">
        <v>0.05</v>
      </c>
      <c r="E342" s="77">
        <v>3.0</v>
      </c>
      <c r="F342" s="78" t="str">
        <f t="shared" si="77"/>
        <v>#DIV/0!</v>
      </c>
      <c r="G342" s="79">
        <f t="shared" si="78"/>
        <v>5</v>
      </c>
      <c r="H342" s="80">
        <f t="shared" si="79"/>
        <v>2.5</v>
      </c>
      <c r="I342" s="81">
        <f t="shared" si="80"/>
        <v>0</v>
      </c>
      <c r="J342" s="82"/>
      <c r="K342" s="83"/>
      <c r="L342" s="84">
        <f t="shared" si="81"/>
        <v>50</v>
      </c>
      <c r="M342" s="65"/>
      <c r="N342" s="65"/>
      <c r="O342" s="65"/>
      <c r="P342" s="65"/>
      <c r="Q342" s="65"/>
      <c r="R342" s="65"/>
      <c r="S342" s="65"/>
      <c r="T342" s="65"/>
      <c r="U342" s="65"/>
      <c r="V342" s="65"/>
      <c r="W342" s="65"/>
      <c r="X342" s="65"/>
      <c r="Y342" s="65"/>
      <c r="Z342" s="66"/>
      <c r="AA342" s="66"/>
      <c r="AB342" s="66"/>
    </row>
    <row r="343" hidden="1" outlineLevel="1">
      <c r="A343" s="71">
        <v>46689.0</v>
      </c>
      <c r="B343" s="100">
        <f t="shared" si="76"/>
        <v>0</v>
      </c>
      <c r="C343" s="75">
        <v>0.1</v>
      </c>
      <c r="D343" s="76">
        <v>0.05</v>
      </c>
      <c r="E343" s="77">
        <v>3.0</v>
      </c>
      <c r="F343" s="78" t="str">
        <f t="shared" si="77"/>
        <v>#DIV/0!</v>
      </c>
      <c r="G343" s="79">
        <f t="shared" si="78"/>
        <v>5</v>
      </c>
      <c r="H343" s="80">
        <f t="shared" si="79"/>
        <v>2.5</v>
      </c>
      <c r="I343" s="81">
        <f t="shared" si="80"/>
        <v>0</v>
      </c>
      <c r="J343" s="82"/>
      <c r="K343" s="83"/>
      <c r="L343" s="84">
        <f t="shared" si="81"/>
        <v>50</v>
      </c>
      <c r="M343" s="65"/>
      <c r="N343" s="65"/>
      <c r="O343" s="65"/>
      <c r="P343" s="65"/>
      <c r="Q343" s="65"/>
      <c r="R343" s="65"/>
      <c r="S343" s="65"/>
      <c r="T343" s="65"/>
      <c r="U343" s="65"/>
      <c r="V343" s="65"/>
      <c r="W343" s="65"/>
      <c r="X343" s="65"/>
      <c r="Y343" s="65"/>
      <c r="Z343" s="66"/>
      <c r="AA343" s="66"/>
      <c r="AB343" s="66"/>
    </row>
    <row r="344" hidden="1" outlineLevel="1">
      <c r="A344" s="71">
        <v>46690.0</v>
      </c>
      <c r="B344" s="100">
        <f t="shared" si="76"/>
        <v>0</v>
      </c>
      <c r="C344" s="75">
        <v>0.1</v>
      </c>
      <c r="D344" s="76">
        <v>0.05</v>
      </c>
      <c r="E344" s="77">
        <v>3.0</v>
      </c>
      <c r="F344" s="78" t="str">
        <f t="shared" si="77"/>
        <v>#DIV/0!</v>
      </c>
      <c r="G344" s="79">
        <f t="shared" si="78"/>
        <v>5</v>
      </c>
      <c r="H344" s="80">
        <f t="shared" si="79"/>
        <v>2.5</v>
      </c>
      <c r="I344" s="81">
        <f t="shared" si="80"/>
        <v>0</v>
      </c>
      <c r="J344" s="82"/>
      <c r="K344" s="83"/>
      <c r="L344" s="84">
        <f t="shared" si="81"/>
        <v>50</v>
      </c>
      <c r="M344" s="65"/>
      <c r="N344" s="65"/>
      <c r="O344" s="65"/>
      <c r="P344" s="65"/>
      <c r="Q344" s="65"/>
      <c r="R344" s="65"/>
      <c r="S344" s="65"/>
      <c r="T344" s="65"/>
      <c r="U344" s="65"/>
      <c r="V344" s="65"/>
      <c r="W344" s="65"/>
      <c r="X344" s="65"/>
      <c r="Y344" s="65"/>
      <c r="Z344" s="66"/>
      <c r="AA344" s="66"/>
      <c r="AB344" s="66"/>
    </row>
    <row r="345" hidden="1" outlineLevel="1">
      <c r="A345" s="71">
        <v>46691.0</v>
      </c>
      <c r="B345" s="100">
        <f t="shared" si="76"/>
        <v>0</v>
      </c>
      <c r="C345" s="75">
        <v>0.1</v>
      </c>
      <c r="D345" s="76">
        <v>0.05</v>
      </c>
      <c r="E345" s="77">
        <v>3.0</v>
      </c>
      <c r="F345" s="78" t="str">
        <f t="shared" si="77"/>
        <v>#DIV/0!</v>
      </c>
      <c r="G345" s="79">
        <f t="shared" si="78"/>
        <v>5</v>
      </c>
      <c r="H345" s="80">
        <f t="shared" si="79"/>
        <v>2.5</v>
      </c>
      <c r="I345" s="81">
        <f t="shared" si="80"/>
        <v>0</v>
      </c>
      <c r="J345" s="82"/>
      <c r="K345" s="83"/>
      <c r="L345" s="84">
        <f t="shared" si="81"/>
        <v>50</v>
      </c>
      <c r="M345" s="65"/>
      <c r="N345" s="65"/>
      <c r="O345" s="65"/>
      <c r="P345" s="65"/>
      <c r="Q345" s="65"/>
      <c r="R345" s="65"/>
      <c r="S345" s="65"/>
      <c r="T345" s="65"/>
      <c r="U345" s="65"/>
      <c r="V345" s="65"/>
      <c r="W345" s="65"/>
      <c r="X345" s="65"/>
      <c r="Y345" s="65"/>
      <c r="Z345" s="66"/>
      <c r="AA345" s="66"/>
      <c r="AB345" s="66"/>
    </row>
    <row r="346" hidden="1" outlineLevel="1">
      <c r="A346" s="85" t="s">
        <v>41</v>
      </c>
      <c r="C346" s="86">
        <f>SUM(C315:C345)</f>
        <v>3.1</v>
      </c>
      <c r="D346" s="87"/>
      <c r="E346" s="87"/>
      <c r="F346" s="87"/>
      <c r="G346" s="87"/>
      <c r="H346" s="87"/>
      <c r="I346" s="87" t="str">
        <f t="shared" ref="I346:K346" si="82">SUM(I315:I345)</f>
        <v>#DIV/0!</v>
      </c>
      <c r="J346" s="89">
        <f t="shared" si="82"/>
        <v>0</v>
      </c>
      <c r="K346" s="87">
        <f t="shared" si="82"/>
        <v>0</v>
      </c>
      <c r="L346" s="89">
        <f>L345</f>
        <v>50</v>
      </c>
      <c r="M346" s="65"/>
      <c r="N346" s="65"/>
      <c r="O346" s="65"/>
      <c r="P346" s="65"/>
      <c r="Q346" s="65"/>
      <c r="R346" s="65"/>
      <c r="S346" s="65"/>
      <c r="T346" s="65"/>
      <c r="U346" s="65"/>
      <c r="V346" s="65"/>
      <c r="W346" s="65"/>
      <c r="X346" s="65"/>
      <c r="Y346" s="65"/>
      <c r="Z346" s="66"/>
      <c r="AA346" s="66"/>
      <c r="AB346" s="66"/>
    </row>
    <row r="347">
      <c r="A347" s="95"/>
      <c r="B347" s="92"/>
      <c r="C347" s="92"/>
      <c r="D347" s="92"/>
      <c r="E347" s="92"/>
      <c r="F347" s="92"/>
      <c r="G347" s="92"/>
      <c r="H347" s="92"/>
      <c r="I347" s="92"/>
      <c r="J347" s="92"/>
      <c r="K347" s="94">
        <f>SUM(K315:K345)</f>
        <v>0</v>
      </c>
      <c r="L347" s="92"/>
      <c r="M347" s="65"/>
      <c r="N347" s="65"/>
      <c r="O347" s="65"/>
      <c r="P347" s="65"/>
      <c r="Q347" s="65"/>
      <c r="R347" s="65"/>
      <c r="S347" s="65"/>
      <c r="T347" s="65"/>
      <c r="U347" s="65"/>
      <c r="V347" s="65"/>
      <c r="W347" s="65"/>
      <c r="X347" s="65"/>
      <c r="Y347" s="65"/>
      <c r="Z347" s="66"/>
      <c r="AA347" s="66"/>
      <c r="AB347" s="66"/>
    </row>
    <row r="348" collapsed="1">
      <c r="A348" s="57" t="s">
        <v>52</v>
      </c>
      <c r="M348" s="65"/>
      <c r="N348" s="65"/>
      <c r="O348" s="65"/>
      <c r="P348" s="65"/>
      <c r="Q348" s="65"/>
      <c r="R348" s="65"/>
      <c r="S348" s="65"/>
      <c r="T348" s="65"/>
      <c r="U348" s="65"/>
      <c r="V348" s="65"/>
      <c r="W348" s="65"/>
      <c r="X348" s="65"/>
      <c r="Y348" s="65"/>
      <c r="Z348" s="66"/>
      <c r="AA348" s="66"/>
      <c r="AB348" s="66"/>
    </row>
    <row r="349" hidden="1" outlineLevel="1">
      <c r="A349" s="71" t="s">
        <v>29</v>
      </c>
      <c r="B349" s="57" t="s">
        <v>30</v>
      </c>
      <c r="C349" s="57" t="s">
        <v>31</v>
      </c>
      <c r="D349" s="72" t="s">
        <v>32</v>
      </c>
      <c r="E349" s="72" t="s">
        <v>33</v>
      </c>
      <c r="F349" s="72" t="s">
        <v>34</v>
      </c>
      <c r="G349" s="73" t="s">
        <v>35</v>
      </c>
      <c r="H349" s="72" t="s">
        <v>36</v>
      </c>
      <c r="I349" s="57" t="s">
        <v>37</v>
      </c>
      <c r="J349" s="74" t="s">
        <v>38</v>
      </c>
      <c r="K349" s="57" t="s">
        <v>39</v>
      </c>
      <c r="L349" s="57" t="s">
        <v>40</v>
      </c>
      <c r="M349" s="65"/>
      <c r="N349" s="65"/>
      <c r="O349" s="65"/>
      <c r="P349" s="65"/>
      <c r="Q349" s="65"/>
      <c r="R349" s="65"/>
      <c r="S349" s="65"/>
      <c r="T349" s="65"/>
      <c r="U349" s="65"/>
      <c r="V349" s="65"/>
      <c r="W349" s="65"/>
      <c r="X349" s="65"/>
      <c r="Y349" s="65"/>
      <c r="Z349" s="66"/>
      <c r="AA349" s="66"/>
      <c r="AB349" s="66"/>
    </row>
    <row r="350" hidden="1" outlineLevel="1">
      <c r="A350" s="71">
        <v>46692.0</v>
      </c>
      <c r="B350" s="100">
        <f t="shared" ref="B350:B379" si="83">ROUND(AVERAGE((H350/1000)/E350), 2)</f>
        <v>0</v>
      </c>
      <c r="C350" s="75">
        <v>0.1</v>
      </c>
      <c r="D350" s="76">
        <v>0.05</v>
      </c>
      <c r="E350" s="77">
        <v>3.0</v>
      </c>
      <c r="F350" s="78" t="str">
        <f t="shared" ref="F350:F379" si="84">H350/B350</f>
        <v>#DIV/0!</v>
      </c>
      <c r="G350" s="79">
        <f>L346*C350</f>
        <v>5</v>
      </c>
      <c r="H350" s="80">
        <f>L346*D350</f>
        <v>2.5</v>
      </c>
      <c r="I350" s="81" t="str">
        <f>(J350/B345)*100</f>
        <v>#DIV/0!</v>
      </c>
      <c r="J350" s="82"/>
      <c r="K350" s="83"/>
      <c r="L350" s="84">
        <f>(L346+J350)-K350</f>
        <v>50</v>
      </c>
      <c r="M350" s="65"/>
      <c r="N350" s="65"/>
      <c r="O350" s="65"/>
      <c r="P350" s="65"/>
      <c r="Q350" s="65"/>
      <c r="R350" s="65"/>
      <c r="S350" s="65"/>
      <c r="T350" s="65"/>
      <c r="U350" s="65"/>
      <c r="V350" s="65"/>
      <c r="W350" s="65"/>
      <c r="X350" s="65"/>
      <c r="Y350" s="65"/>
      <c r="Z350" s="66"/>
      <c r="AA350" s="66"/>
      <c r="AB350" s="66"/>
    </row>
    <row r="351" hidden="1" outlineLevel="1">
      <c r="A351" s="71">
        <v>46693.0</v>
      </c>
      <c r="B351" s="100">
        <f t="shared" si="83"/>
        <v>0</v>
      </c>
      <c r="C351" s="75">
        <v>0.1</v>
      </c>
      <c r="D351" s="76">
        <v>0.05</v>
      </c>
      <c r="E351" s="77">
        <v>3.0</v>
      </c>
      <c r="F351" s="78" t="str">
        <f t="shared" si="84"/>
        <v>#DIV/0!</v>
      </c>
      <c r="G351" s="79">
        <f t="shared" ref="G351:G379" si="85">L350*C351</f>
        <v>5</v>
      </c>
      <c r="H351" s="80">
        <f t="shared" ref="H351:H379" si="86">L350*D351</f>
        <v>2.5</v>
      </c>
      <c r="I351" s="81">
        <f t="shared" ref="I351:I379" si="87">(J351/L350)*100</f>
        <v>0</v>
      </c>
      <c r="J351" s="82"/>
      <c r="K351" s="83"/>
      <c r="L351" s="84">
        <f t="shared" ref="L351:L379" si="88">(L350+J351)-K351</f>
        <v>50</v>
      </c>
      <c r="M351" s="65"/>
      <c r="N351" s="65"/>
      <c r="O351" s="65"/>
      <c r="P351" s="65"/>
      <c r="Q351" s="65"/>
      <c r="R351" s="65"/>
      <c r="S351" s="65"/>
      <c r="T351" s="65"/>
      <c r="U351" s="65"/>
      <c r="V351" s="65"/>
      <c r="W351" s="65"/>
      <c r="X351" s="65"/>
      <c r="Y351" s="65"/>
      <c r="Z351" s="66"/>
      <c r="AA351" s="66"/>
      <c r="AB351" s="66"/>
    </row>
    <row r="352" hidden="1" outlineLevel="1">
      <c r="A352" s="71">
        <v>46694.0</v>
      </c>
      <c r="B352" s="100">
        <f t="shared" si="83"/>
        <v>0</v>
      </c>
      <c r="C352" s="75">
        <v>0.1</v>
      </c>
      <c r="D352" s="76">
        <v>0.05</v>
      </c>
      <c r="E352" s="77">
        <v>3.0</v>
      </c>
      <c r="F352" s="78" t="str">
        <f t="shared" si="84"/>
        <v>#DIV/0!</v>
      </c>
      <c r="G352" s="79">
        <f t="shared" si="85"/>
        <v>5</v>
      </c>
      <c r="H352" s="80">
        <f t="shared" si="86"/>
        <v>2.5</v>
      </c>
      <c r="I352" s="81">
        <f t="shared" si="87"/>
        <v>0</v>
      </c>
      <c r="J352" s="82"/>
      <c r="K352" s="83"/>
      <c r="L352" s="84">
        <f t="shared" si="88"/>
        <v>50</v>
      </c>
      <c r="M352" s="65"/>
      <c r="N352" s="65"/>
      <c r="O352" s="65"/>
      <c r="P352" s="65"/>
      <c r="Q352" s="65"/>
      <c r="R352" s="65"/>
      <c r="S352" s="65"/>
      <c r="T352" s="65"/>
      <c r="U352" s="65"/>
      <c r="V352" s="65"/>
      <c r="W352" s="65"/>
      <c r="X352" s="65"/>
      <c r="Y352" s="65"/>
      <c r="Z352" s="66"/>
      <c r="AA352" s="66"/>
      <c r="AB352" s="66"/>
    </row>
    <row r="353" hidden="1" outlineLevel="1">
      <c r="A353" s="71">
        <v>46695.0</v>
      </c>
      <c r="B353" s="100">
        <f t="shared" si="83"/>
        <v>0</v>
      </c>
      <c r="C353" s="75">
        <v>0.1</v>
      </c>
      <c r="D353" s="76">
        <v>0.05</v>
      </c>
      <c r="E353" s="77">
        <v>3.0</v>
      </c>
      <c r="F353" s="78" t="str">
        <f t="shared" si="84"/>
        <v>#DIV/0!</v>
      </c>
      <c r="G353" s="79">
        <f t="shared" si="85"/>
        <v>5</v>
      </c>
      <c r="H353" s="80">
        <f t="shared" si="86"/>
        <v>2.5</v>
      </c>
      <c r="I353" s="81">
        <f t="shared" si="87"/>
        <v>0</v>
      </c>
      <c r="J353" s="82"/>
      <c r="K353" s="83"/>
      <c r="L353" s="84">
        <f t="shared" si="88"/>
        <v>50</v>
      </c>
      <c r="M353" s="65"/>
      <c r="N353" s="65"/>
      <c r="O353" s="65"/>
      <c r="P353" s="65"/>
      <c r="Q353" s="65"/>
      <c r="R353" s="65"/>
      <c r="S353" s="65"/>
      <c r="T353" s="65"/>
      <c r="U353" s="65"/>
      <c r="V353" s="65"/>
      <c r="W353" s="65"/>
      <c r="X353" s="65"/>
      <c r="Y353" s="65"/>
      <c r="Z353" s="66"/>
      <c r="AA353" s="66"/>
      <c r="AB353" s="66"/>
    </row>
    <row r="354" hidden="1" outlineLevel="1">
      <c r="A354" s="71">
        <v>46696.0</v>
      </c>
      <c r="B354" s="100">
        <f t="shared" si="83"/>
        <v>0</v>
      </c>
      <c r="C354" s="75">
        <v>0.1</v>
      </c>
      <c r="D354" s="76">
        <v>0.05</v>
      </c>
      <c r="E354" s="77">
        <v>3.0</v>
      </c>
      <c r="F354" s="78" t="str">
        <f t="shared" si="84"/>
        <v>#DIV/0!</v>
      </c>
      <c r="G354" s="79">
        <f t="shared" si="85"/>
        <v>5</v>
      </c>
      <c r="H354" s="80">
        <f t="shared" si="86"/>
        <v>2.5</v>
      </c>
      <c r="I354" s="81">
        <f t="shared" si="87"/>
        <v>0</v>
      </c>
      <c r="J354" s="82"/>
      <c r="K354" s="83"/>
      <c r="L354" s="84">
        <f t="shared" si="88"/>
        <v>50</v>
      </c>
      <c r="M354" s="65"/>
      <c r="N354" s="65"/>
      <c r="O354" s="65"/>
      <c r="P354" s="65"/>
      <c r="Q354" s="65"/>
      <c r="R354" s="65"/>
      <c r="S354" s="65"/>
      <c r="T354" s="65"/>
      <c r="U354" s="65"/>
      <c r="V354" s="65"/>
      <c r="W354" s="65"/>
      <c r="X354" s="65"/>
      <c r="Y354" s="65"/>
      <c r="Z354" s="66"/>
      <c r="AA354" s="66"/>
      <c r="AB354" s="66"/>
    </row>
    <row r="355" hidden="1" outlineLevel="1">
      <c r="A355" s="71">
        <v>46697.0</v>
      </c>
      <c r="B355" s="100">
        <f t="shared" si="83"/>
        <v>0</v>
      </c>
      <c r="C355" s="75">
        <v>0.1</v>
      </c>
      <c r="D355" s="76">
        <v>0.05</v>
      </c>
      <c r="E355" s="77">
        <v>3.0</v>
      </c>
      <c r="F355" s="78" t="str">
        <f t="shared" si="84"/>
        <v>#DIV/0!</v>
      </c>
      <c r="G355" s="79">
        <f t="shared" si="85"/>
        <v>5</v>
      </c>
      <c r="H355" s="80">
        <f t="shared" si="86"/>
        <v>2.5</v>
      </c>
      <c r="I355" s="81">
        <f t="shared" si="87"/>
        <v>0</v>
      </c>
      <c r="J355" s="82"/>
      <c r="K355" s="83"/>
      <c r="L355" s="84">
        <f t="shared" si="88"/>
        <v>50</v>
      </c>
      <c r="M355" s="65"/>
      <c r="N355" s="65"/>
      <c r="O355" s="65"/>
      <c r="P355" s="65"/>
      <c r="Q355" s="65"/>
      <c r="R355" s="65"/>
      <c r="S355" s="65"/>
      <c r="T355" s="65"/>
      <c r="U355" s="65"/>
      <c r="V355" s="65"/>
      <c r="W355" s="65"/>
      <c r="X355" s="65"/>
      <c r="Y355" s="65"/>
      <c r="Z355" s="66"/>
      <c r="AA355" s="66"/>
      <c r="AB355" s="66"/>
    </row>
    <row r="356" hidden="1" outlineLevel="1">
      <c r="A356" s="71">
        <v>46698.0</v>
      </c>
      <c r="B356" s="100">
        <f t="shared" si="83"/>
        <v>0</v>
      </c>
      <c r="C356" s="75">
        <v>0.1</v>
      </c>
      <c r="D356" s="76">
        <v>0.05</v>
      </c>
      <c r="E356" s="77">
        <v>3.0</v>
      </c>
      <c r="F356" s="78" t="str">
        <f t="shared" si="84"/>
        <v>#DIV/0!</v>
      </c>
      <c r="G356" s="79">
        <f t="shared" si="85"/>
        <v>5</v>
      </c>
      <c r="H356" s="80">
        <f t="shared" si="86"/>
        <v>2.5</v>
      </c>
      <c r="I356" s="81">
        <f t="shared" si="87"/>
        <v>0</v>
      </c>
      <c r="J356" s="82"/>
      <c r="K356" s="83"/>
      <c r="L356" s="84">
        <f t="shared" si="88"/>
        <v>50</v>
      </c>
      <c r="M356" s="65"/>
      <c r="N356" s="65"/>
      <c r="O356" s="65"/>
      <c r="P356" s="65"/>
      <c r="Q356" s="65"/>
      <c r="R356" s="65"/>
      <c r="S356" s="65"/>
      <c r="T356" s="65"/>
      <c r="U356" s="65"/>
      <c r="V356" s="65"/>
      <c r="W356" s="65"/>
      <c r="X356" s="65"/>
      <c r="Y356" s="65"/>
      <c r="Z356" s="66"/>
      <c r="AA356" s="66"/>
      <c r="AB356" s="66"/>
    </row>
    <row r="357" hidden="1" outlineLevel="1">
      <c r="A357" s="71">
        <v>46699.0</v>
      </c>
      <c r="B357" s="100">
        <f t="shared" si="83"/>
        <v>0</v>
      </c>
      <c r="C357" s="75">
        <v>0.1</v>
      </c>
      <c r="D357" s="76">
        <v>0.05</v>
      </c>
      <c r="E357" s="77">
        <v>3.0</v>
      </c>
      <c r="F357" s="78" t="str">
        <f t="shared" si="84"/>
        <v>#DIV/0!</v>
      </c>
      <c r="G357" s="79">
        <f t="shared" si="85"/>
        <v>5</v>
      </c>
      <c r="H357" s="80">
        <f t="shared" si="86"/>
        <v>2.5</v>
      </c>
      <c r="I357" s="81">
        <f t="shared" si="87"/>
        <v>0</v>
      </c>
      <c r="J357" s="82"/>
      <c r="K357" s="83"/>
      <c r="L357" s="84">
        <f t="shared" si="88"/>
        <v>50</v>
      </c>
      <c r="M357" s="65"/>
      <c r="N357" s="65"/>
      <c r="O357" s="65"/>
      <c r="P357" s="65"/>
      <c r="Q357" s="65"/>
      <c r="R357" s="65"/>
      <c r="S357" s="65"/>
      <c r="T357" s="65"/>
      <c r="U357" s="65"/>
      <c r="V357" s="65"/>
      <c r="W357" s="65"/>
      <c r="X357" s="65"/>
      <c r="Y357" s="65"/>
      <c r="Z357" s="66"/>
      <c r="AA357" s="66"/>
      <c r="AB357" s="66"/>
    </row>
    <row r="358" hidden="1" outlineLevel="1">
      <c r="A358" s="71">
        <v>46700.0</v>
      </c>
      <c r="B358" s="100">
        <f t="shared" si="83"/>
        <v>0</v>
      </c>
      <c r="C358" s="75">
        <v>0.1</v>
      </c>
      <c r="D358" s="76">
        <v>0.05</v>
      </c>
      <c r="E358" s="77">
        <v>3.0</v>
      </c>
      <c r="F358" s="78" t="str">
        <f t="shared" si="84"/>
        <v>#DIV/0!</v>
      </c>
      <c r="G358" s="79">
        <f t="shared" si="85"/>
        <v>5</v>
      </c>
      <c r="H358" s="80">
        <f t="shared" si="86"/>
        <v>2.5</v>
      </c>
      <c r="I358" s="81">
        <f t="shared" si="87"/>
        <v>0</v>
      </c>
      <c r="J358" s="82"/>
      <c r="K358" s="83"/>
      <c r="L358" s="84">
        <f t="shared" si="88"/>
        <v>50</v>
      </c>
      <c r="M358" s="65"/>
      <c r="N358" s="65"/>
      <c r="O358" s="65"/>
      <c r="P358" s="65"/>
      <c r="Q358" s="65"/>
      <c r="R358" s="65"/>
      <c r="S358" s="65"/>
      <c r="T358" s="65"/>
      <c r="U358" s="65"/>
      <c r="V358" s="65"/>
      <c r="W358" s="65"/>
      <c r="X358" s="65"/>
      <c r="Y358" s="65"/>
      <c r="Z358" s="66"/>
      <c r="AA358" s="66"/>
      <c r="AB358" s="66"/>
    </row>
    <row r="359" hidden="1" outlineLevel="1">
      <c r="A359" s="71">
        <v>46701.0</v>
      </c>
      <c r="B359" s="100">
        <f t="shared" si="83"/>
        <v>0</v>
      </c>
      <c r="C359" s="75">
        <v>0.1</v>
      </c>
      <c r="D359" s="76">
        <v>0.05</v>
      </c>
      <c r="E359" s="77">
        <v>3.0</v>
      </c>
      <c r="F359" s="78" t="str">
        <f t="shared" si="84"/>
        <v>#DIV/0!</v>
      </c>
      <c r="G359" s="79">
        <f t="shared" si="85"/>
        <v>5</v>
      </c>
      <c r="H359" s="80">
        <f t="shared" si="86"/>
        <v>2.5</v>
      </c>
      <c r="I359" s="81">
        <f t="shared" si="87"/>
        <v>0</v>
      </c>
      <c r="J359" s="82"/>
      <c r="K359" s="83"/>
      <c r="L359" s="84">
        <f t="shared" si="88"/>
        <v>50</v>
      </c>
      <c r="M359" s="65"/>
      <c r="N359" s="65"/>
      <c r="O359" s="65"/>
      <c r="P359" s="65"/>
      <c r="Q359" s="65"/>
      <c r="R359" s="65"/>
      <c r="S359" s="65"/>
      <c r="T359" s="65"/>
      <c r="U359" s="65"/>
      <c r="V359" s="65"/>
      <c r="W359" s="65"/>
      <c r="X359" s="65"/>
      <c r="Y359" s="65"/>
      <c r="Z359" s="66"/>
      <c r="AA359" s="66"/>
      <c r="AB359" s="66"/>
    </row>
    <row r="360" hidden="1" outlineLevel="1">
      <c r="A360" s="71">
        <v>46702.0</v>
      </c>
      <c r="B360" s="100">
        <f t="shared" si="83"/>
        <v>0</v>
      </c>
      <c r="C360" s="75">
        <v>0.1</v>
      </c>
      <c r="D360" s="76">
        <v>0.05</v>
      </c>
      <c r="E360" s="77">
        <v>3.0</v>
      </c>
      <c r="F360" s="78" t="str">
        <f t="shared" si="84"/>
        <v>#DIV/0!</v>
      </c>
      <c r="G360" s="79">
        <f t="shared" si="85"/>
        <v>5</v>
      </c>
      <c r="H360" s="80">
        <f t="shared" si="86"/>
        <v>2.5</v>
      </c>
      <c r="I360" s="81">
        <f t="shared" si="87"/>
        <v>0</v>
      </c>
      <c r="J360" s="82"/>
      <c r="K360" s="83"/>
      <c r="L360" s="84">
        <f t="shared" si="88"/>
        <v>50</v>
      </c>
      <c r="M360" s="65"/>
      <c r="N360" s="65"/>
      <c r="O360" s="65"/>
      <c r="P360" s="65"/>
      <c r="Q360" s="65"/>
      <c r="R360" s="65"/>
      <c r="S360" s="65"/>
      <c r="T360" s="65"/>
      <c r="U360" s="65"/>
      <c r="V360" s="65"/>
      <c r="W360" s="65"/>
      <c r="X360" s="65"/>
      <c r="Y360" s="65"/>
      <c r="Z360" s="66"/>
      <c r="AA360" s="66"/>
      <c r="AB360" s="66"/>
    </row>
    <row r="361" hidden="1" outlineLevel="1">
      <c r="A361" s="71">
        <v>46703.0</v>
      </c>
      <c r="B361" s="100">
        <f t="shared" si="83"/>
        <v>0</v>
      </c>
      <c r="C361" s="75">
        <v>0.1</v>
      </c>
      <c r="D361" s="76">
        <v>0.05</v>
      </c>
      <c r="E361" s="77">
        <v>3.0</v>
      </c>
      <c r="F361" s="78" t="str">
        <f t="shared" si="84"/>
        <v>#DIV/0!</v>
      </c>
      <c r="G361" s="79">
        <f t="shared" si="85"/>
        <v>5</v>
      </c>
      <c r="H361" s="80">
        <f t="shared" si="86"/>
        <v>2.5</v>
      </c>
      <c r="I361" s="81">
        <f t="shared" si="87"/>
        <v>0</v>
      </c>
      <c r="J361" s="82"/>
      <c r="K361" s="83"/>
      <c r="L361" s="84">
        <f t="shared" si="88"/>
        <v>50</v>
      </c>
      <c r="M361" s="65"/>
      <c r="N361" s="65"/>
      <c r="O361" s="65"/>
      <c r="P361" s="65"/>
      <c r="Q361" s="65"/>
      <c r="R361" s="65"/>
      <c r="S361" s="65"/>
      <c r="T361" s="65"/>
      <c r="U361" s="65"/>
      <c r="V361" s="65"/>
      <c r="W361" s="65"/>
      <c r="X361" s="65"/>
      <c r="Y361" s="65"/>
      <c r="Z361" s="66"/>
      <c r="AA361" s="66"/>
      <c r="AB361" s="66"/>
    </row>
    <row r="362" hidden="1" outlineLevel="1">
      <c r="A362" s="71">
        <v>46704.0</v>
      </c>
      <c r="B362" s="100">
        <f t="shared" si="83"/>
        <v>0</v>
      </c>
      <c r="C362" s="75">
        <v>0.1</v>
      </c>
      <c r="D362" s="76">
        <v>0.05</v>
      </c>
      <c r="E362" s="77">
        <v>3.0</v>
      </c>
      <c r="F362" s="78" t="str">
        <f t="shared" si="84"/>
        <v>#DIV/0!</v>
      </c>
      <c r="G362" s="79">
        <f t="shared" si="85"/>
        <v>5</v>
      </c>
      <c r="H362" s="80">
        <f t="shared" si="86"/>
        <v>2.5</v>
      </c>
      <c r="I362" s="81">
        <f t="shared" si="87"/>
        <v>0</v>
      </c>
      <c r="J362" s="82"/>
      <c r="K362" s="83"/>
      <c r="L362" s="84">
        <f t="shared" si="88"/>
        <v>50</v>
      </c>
      <c r="M362" s="65"/>
      <c r="N362" s="65"/>
      <c r="O362" s="65"/>
      <c r="P362" s="65"/>
      <c r="Q362" s="65"/>
      <c r="R362" s="65"/>
      <c r="S362" s="65"/>
      <c r="T362" s="65"/>
      <c r="U362" s="65"/>
      <c r="V362" s="65"/>
      <c r="W362" s="65"/>
      <c r="X362" s="65"/>
      <c r="Y362" s="65"/>
      <c r="Z362" s="66"/>
      <c r="AA362" s="66"/>
      <c r="AB362" s="66"/>
    </row>
    <row r="363" hidden="1" outlineLevel="1">
      <c r="A363" s="71">
        <v>46705.0</v>
      </c>
      <c r="B363" s="100">
        <f t="shared" si="83"/>
        <v>0</v>
      </c>
      <c r="C363" s="75">
        <v>0.1</v>
      </c>
      <c r="D363" s="76">
        <v>0.05</v>
      </c>
      <c r="E363" s="77">
        <v>3.0</v>
      </c>
      <c r="F363" s="78" t="str">
        <f t="shared" si="84"/>
        <v>#DIV/0!</v>
      </c>
      <c r="G363" s="79">
        <f t="shared" si="85"/>
        <v>5</v>
      </c>
      <c r="H363" s="80">
        <f t="shared" si="86"/>
        <v>2.5</v>
      </c>
      <c r="I363" s="81">
        <f t="shared" si="87"/>
        <v>0</v>
      </c>
      <c r="J363" s="82"/>
      <c r="K363" s="83"/>
      <c r="L363" s="84">
        <f t="shared" si="88"/>
        <v>50</v>
      </c>
      <c r="M363" s="65"/>
      <c r="N363" s="65"/>
      <c r="O363" s="65"/>
      <c r="P363" s="65"/>
      <c r="Q363" s="65"/>
      <c r="R363" s="65"/>
      <c r="S363" s="65"/>
      <c r="T363" s="65"/>
      <c r="U363" s="65"/>
      <c r="V363" s="65"/>
      <c r="W363" s="65"/>
      <c r="X363" s="65"/>
      <c r="Y363" s="65"/>
      <c r="Z363" s="66"/>
      <c r="AA363" s="66"/>
      <c r="AB363" s="66"/>
    </row>
    <row r="364" hidden="1" outlineLevel="1">
      <c r="A364" s="71">
        <v>46706.0</v>
      </c>
      <c r="B364" s="100">
        <f t="shared" si="83"/>
        <v>0</v>
      </c>
      <c r="C364" s="75">
        <v>0.1</v>
      </c>
      <c r="D364" s="76">
        <v>0.05</v>
      </c>
      <c r="E364" s="77">
        <v>3.0</v>
      </c>
      <c r="F364" s="78" t="str">
        <f t="shared" si="84"/>
        <v>#DIV/0!</v>
      </c>
      <c r="G364" s="79">
        <f t="shared" si="85"/>
        <v>5</v>
      </c>
      <c r="H364" s="80">
        <f t="shared" si="86"/>
        <v>2.5</v>
      </c>
      <c r="I364" s="81">
        <f t="shared" si="87"/>
        <v>0</v>
      </c>
      <c r="J364" s="82"/>
      <c r="K364" s="83"/>
      <c r="L364" s="84">
        <f t="shared" si="88"/>
        <v>50</v>
      </c>
      <c r="M364" s="65"/>
      <c r="N364" s="65"/>
      <c r="O364" s="65"/>
      <c r="P364" s="65"/>
      <c r="Q364" s="65"/>
      <c r="R364" s="65"/>
      <c r="S364" s="65"/>
      <c r="T364" s="65"/>
      <c r="U364" s="65"/>
      <c r="V364" s="65"/>
      <c r="W364" s="65"/>
      <c r="X364" s="65"/>
      <c r="Y364" s="65"/>
      <c r="Z364" s="66"/>
      <c r="AA364" s="66"/>
      <c r="AB364" s="66"/>
    </row>
    <row r="365" hidden="1" outlineLevel="1">
      <c r="A365" s="71">
        <v>46707.0</v>
      </c>
      <c r="B365" s="100">
        <f t="shared" si="83"/>
        <v>0</v>
      </c>
      <c r="C365" s="75">
        <v>0.1</v>
      </c>
      <c r="D365" s="76">
        <v>0.05</v>
      </c>
      <c r="E365" s="77">
        <v>3.0</v>
      </c>
      <c r="F365" s="78" t="str">
        <f t="shared" si="84"/>
        <v>#DIV/0!</v>
      </c>
      <c r="G365" s="79">
        <f t="shared" si="85"/>
        <v>5</v>
      </c>
      <c r="H365" s="80">
        <f t="shared" si="86"/>
        <v>2.5</v>
      </c>
      <c r="I365" s="81">
        <f t="shared" si="87"/>
        <v>0</v>
      </c>
      <c r="J365" s="82"/>
      <c r="K365" s="83"/>
      <c r="L365" s="84">
        <f t="shared" si="88"/>
        <v>50</v>
      </c>
      <c r="M365" s="65"/>
      <c r="N365" s="65"/>
      <c r="O365" s="65"/>
      <c r="P365" s="65"/>
      <c r="Q365" s="65"/>
      <c r="R365" s="65"/>
      <c r="S365" s="65"/>
      <c r="T365" s="65"/>
      <c r="U365" s="65"/>
      <c r="V365" s="65"/>
      <c r="W365" s="65"/>
      <c r="X365" s="65"/>
      <c r="Y365" s="65"/>
      <c r="Z365" s="66"/>
      <c r="AA365" s="66"/>
      <c r="AB365" s="66"/>
    </row>
    <row r="366" hidden="1" outlineLevel="1">
      <c r="A366" s="71">
        <v>46708.0</v>
      </c>
      <c r="B366" s="100">
        <f t="shared" si="83"/>
        <v>0</v>
      </c>
      <c r="C366" s="75">
        <v>0.1</v>
      </c>
      <c r="D366" s="76">
        <v>0.05</v>
      </c>
      <c r="E366" s="77">
        <v>3.0</v>
      </c>
      <c r="F366" s="78" t="str">
        <f t="shared" si="84"/>
        <v>#DIV/0!</v>
      </c>
      <c r="G366" s="79">
        <f t="shared" si="85"/>
        <v>5</v>
      </c>
      <c r="H366" s="80">
        <f t="shared" si="86"/>
        <v>2.5</v>
      </c>
      <c r="I366" s="81">
        <f t="shared" si="87"/>
        <v>0</v>
      </c>
      <c r="J366" s="82"/>
      <c r="K366" s="83"/>
      <c r="L366" s="84">
        <f t="shared" si="88"/>
        <v>50</v>
      </c>
      <c r="M366" s="65"/>
      <c r="N366" s="65"/>
      <c r="O366" s="65"/>
      <c r="P366" s="65"/>
      <c r="Q366" s="65"/>
      <c r="R366" s="65"/>
      <c r="S366" s="65"/>
      <c r="T366" s="65"/>
      <c r="U366" s="65"/>
      <c r="V366" s="65"/>
      <c r="W366" s="65"/>
      <c r="X366" s="65"/>
      <c r="Y366" s="65"/>
      <c r="Z366" s="66"/>
      <c r="AA366" s="66"/>
      <c r="AB366" s="66"/>
    </row>
    <row r="367" hidden="1" outlineLevel="1">
      <c r="A367" s="71">
        <v>46709.0</v>
      </c>
      <c r="B367" s="100">
        <f t="shared" si="83"/>
        <v>0</v>
      </c>
      <c r="C367" s="75">
        <v>0.1</v>
      </c>
      <c r="D367" s="76">
        <v>0.05</v>
      </c>
      <c r="E367" s="77">
        <v>3.0</v>
      </c>
      <c r="F367" s="78" t="str">
        <f t="shared" si="84"/>
        <v>#DIV/0!</v>
      </c>
      <c r="G367" s="79">
        <f t="shared" si="85"/>
        <v>5</v>
      </c>
      <c r="H367" s="80">
        <f t="shared" si="86"/>
        <v>2.5</v>
      </c>
      <c r="I367" s="81">
        <f t="shared" si="87"/>
        <v>0</v>
      </c>
      <c r="J367" s="82"/>
      <c r="K367" s="83"/>
      <c r="L367" s="84">
        <f t="shared" si="88"/>
        <v>50</v>
      </c>
      <c r="M367" s="65"/>
      <c r="N367" s="65"/>
      <c r="O367" s="65"/>
      <c r="P367" s="65"/>
      <c r="Q367" s="65"/>
      <c r="R367" s="65"/>
      <c r="S367" s="65"/>
      <c r="T367" s="65"/>
      <c r="U367" s="65"/>
      <c r="V367" s="65"/>
      <c r="W367" s="65"/>
      <c r="X367" s="65"/>
      <c r="Y367" s="65"/>
      <c r="Z367" s="66"/>
      <c r="AA367" s="66"/>
      <c r="AB367" s="66"/>
    </row>
    <row r="368" hidden="1" outlineLevel="1">
      <c r="A368" s="71">
        <v>46710.0</v>
      </c>
      <c r="B368" s="100">
        <f t="shared" si="83"/>
        <v>0</v>
      </c>
      <c r="C368" s="75">
        <v>0.1</v>
      </c>
      <c r="D368" s="76">
        <v>0.05</v>
      </c>
      <c r="E368" s="77">
        <v>3.0</v>
      </c>
      <c r="F368" s="78" t="str">
        <f t="shared" si="84"/>
        <v>#DIV/0!</v>
      </c>
      <c r="G368" s="79">
        <f t="shared" si="85"/>
        <v>5</v>
      </c>
      <c r="H368" s="80">
        <f t="shared" si="86"/>
        <v>2.5</v>
      </c>
      <c r="I368" s="81">
        <f t="shared" si="87"/>
        <v>0</v>
      </c>
      <c r="J368" s="82"/>
      <c r="K368" s="83"/>
      <c r="L368" s="84">
        <f t="shared" si="88"/>
        <v>50</v>
      </c>
      <c r="M368" s="65"/>
      <c r="N368" s="65"/>
      <c r="O368" s="65"/>
      <c r="P368" s="65"/>
      <c r="Q368" s="65"/>
      <c r="R368" s="65"/>
      <c r="S368" s="65"/>
      <c r="T368" s="65"/>
      <c r="U368" s="65"/>
      <c r="V368" s="65"/>
      <c r="W368" s="65"/>
      <c r="X368" s="65"/>
      <c r="Y368" s="65"/>
      <c r="Z368" s="66"/>
      <c r="AA368" s="66"/>
      <c r="AB368" s="66"/>
    </row>
    <row r="369" hidden="1" outlineLevel="1">
      <c r="A369" s="71">
        <v>46711.0</v>
      </c>
      <c r="B369" s="100">
        <f t="shared" si="83"/>
        <v>0</v>
      </c>
      <c r="C369" s="75">
        <v>0.1</v>
      </c>
      <c r="D369" s="76">
        <v>0.05</v>
      </c>
      <c r="E369" s="77">
        <v>3.0</v>
      </c>
      <c r="F369" s="78" t="str">
        <f t="shared" si="84"/>
        <v>#DIV/0!</v>
      </c>
      <c r="G369" s="79">
        <f t="shared" si="85"/>
        <v>5</v>
      </c>
      <c r="H369" s="80">
        <f t="shared" si="86"/>
        <v>2.5</v>
      </c>
      <c r="I369" s="81">
        <f t="shared" si="87"/>
        <v>0</v>
      </c>
      <c r="J369" s="82"/>
      <c r="K369" s="83"/>
      <c r="L369" s="84">
        <f t="shared" si="88"/>
        <v>50</v>
      </c>
      <c r="M369" s="65"/>
      <c r="N369" s="65"/>
      <c r="O369" s="65"/>
      <c r="P369" s="65"/>
      <c r="Q369" s="65"/>
      <c r="R369" s="65"/>
      <c r="S369" s="65"/>
      <c r="T369" s="65"/>
      <c r="U369" s="65"/>
      <c r="V369" s="65"/>
      <c r="W369" s="65"/>
      <c r="X369" s="65"/>
      <c r="Y369" s="65"/>
      <c r="Z369" s="66"/>
      <c r="AA369" s="66"/>
      <c r="AB369" s="66"/>
    </row>
    <row r="370" hidden="1" outlineLevel="1">
      <c r="A370" s="71">
        <v>46712.0</v>
      </c>
      <c r="B370" s="100">
        <f t="shared" si="83"/>
        <v>0</v>
      </c>
      <c r="C370" s="75">
        <v>0.1</v>
      </c>
      <c r="D370" s="76">
        <v>0.05</v>
      </c>
      <c r="E370" s="77">
        <v>3.0</v>
      </c>
      <c r="F370" s="78" t="str">
        <f t="shared" si="84"/>
        <v>#DIV/0!</v>
      </c>
      <c r="G370" s="79">
        <f t="shared" si="85"/>
        <v>5</v>
      </c>
      <c r="H370" s="80">
        <f t="shared" si="86"/>
        <v>2.5</v>
      </c>
      <c r="I370" s="81">
        <f t="shared" si="87"/>
        <v>0</v>
      </c>
      <c r="J370" s="82"/>
      <c r="K370" s="83"/>
      <c r="L370" s="84">
        <f t="shared" si="88"/>
        <v>50</v>
      </c>
      <c r="M370" s="65"/>
      <c r="N370" s="65"/>
      <c r="O370" s="65"/>
      <c r="P370" s="65"/>
      <c r="Q370" s="65"/>
      <c r="R370" s="65"/>
      <c r="S370" s="65"/>
      <c r="T370" s="65"/>
      <c r="U370" s="65"/>
      <c r="V370" s="65"/>
      <c r="W370" s="65"/>
      <c r="X370" s="65"/>
      <c r="Y370" s="65"/>
      <c r="Z370" s="66"/>
      <c r="AA370" s="66"/>
      <c r="AB370" s="66"/>
    </row>
    <row r="371" hidden="1" outlineLevel="1">
      <c r="A371" s="71">
        <v>46713.0</v>
      </c>
      <c r="B371" s="100">
        <f t="shared" si="83"/>
        <v>0</v>
      </c>
      <c r="C371" s="75">
        <v>0.1</v>
      </c>
      <c r="D371" s="76">
        <v>0.05</v>
      </c>
      <c r="E371" s="77">
        <v>3.0</v>
      </c>
      <c r="F371" s="78" t="str">
        <f t="shared" si="84"/>
        <v>#DIV/0!</v>
      </c>
      <c r="G371" s="79">
        <f t="shared" si="85"/>
        <v>5</v>
      </c>
      <c r="H371" s="80">
        <f t="shared" si="86"/>
        <v>2.5</v>
      </c>
      <c r="I371" s="81">
        <f t="shared" si="87"/>
        <v>0</v>
      </c>
      <c r="J371" s="82"/>
      <c r="K371" s="83"/>
      <c r="L371" s="84">
        <f t="shared" si="88"/>
        <v>50</v>
      </c>
      <c r="M371" s="65"/>
      <c r="N371" s="65"/>
      <c r="O371" s="65"/>
      <c r="P371" s="65"/>
      <c r="Q371" s="65"/>
      <c r="R371" s="65"/>
      <c r="S371" s="65"/>
      <c r="T371" s="65"/>
      <c r="U371" s="65"/>
      <c r="V371" s="65"/>
      <c r="W371" s="65"/>
      <c r="X371" s="65"/>
      <c r="Y371" s="65"/>
      <c r="Z371" s="66"/>
      <c r="AA371" s="66"/>
      <c r="AB371" s="66"/>
    </row>
    <row r="372" hidden="1" outlineLevel="1">
      <c r="A372" s="71">
        <v>46714.0</v>
      </c>
      <c r="B372" s="100">
        <f t="shared" si="83"/>
        <v>0</v>
      </c>
      <c r="C372" s="75">
        <v>0.1</v>
      </c>
      <c r="D372" s="76">
        <v>0.05</v>
      </c>
      <c r="E372" s="77">
        <v>3.0</v>
      </c>
      <c r="F372" s="78" t="str">
        <f t="shared" si="84"/>
        <v>#DIV/0!</v>
      </c>
      <c r="G372" s="79">
        <f t="shared" si="85"/>
        <v>5</v>
      </c>
      <c r="H372" s="80">
        <f t="shared" si="86"/>
        <v>2.5</v>
      </c>
      <c r="I372" s="81">
        <f t="shared" si="87"/>
        <v>0</v>
      </c>
      <c r="J372" s="82"/>
      <c r="K372" s="83"/>
      <c r="L372" s="84">
        <f t="shared" si="88"/>
        <v>50</v>
      </c>
      <c r="M372" s="65"/>
      <c r="N372" s="65"/>
      <c r="O372" s="65"/>
      <c r="P372" s="65"/>
      <c r="Q372" s="65"/>
      <c r="R372" s="65"/>
      <c r="S372" s="65"/>
      <c r="T372" s="65"/>
      <c r="U372" s="65"/>
      <c r="V372" s="65"/>
      <c r="W372" s="65"/>
      <c r="X372" s="65"/>
      <c r="Y372" s="65"/>
      <c r="Z372" s="66"/>
      <c r="AA372" s="66"/>
      <c r="AB372" s="66"/>
    </row>
    <row r="373" hidden="1" outlineLevel="1">
      <c r="A373" s="71">
        <v>46715.0</v>
      </c>
      <c r="B373" s="100">
        <f t="shared" si="83"/>
        <v>0</v>
      </c>
      <c r="C373" s="75">
        <v>0.1</v>
      </c>
      <c r="D373" s="76">
        <v>0.05</v>
      </c>
      <c r="E373" s="77">
        <v>3.0</v>
      </c>
      <c r="F373" s="78" t="str">
        <f t="shared" si="84"/>
        <v>#DIV/0!</v>
      </c>
      <c r="G373" s="79">
        <f t="shared" si="85"/>
        <v>5</v>
      </c>
      <c r="H373" s="80">
        <f t="shared" si="86"/>
        <v>2.5</v>
      </c>
      <c r="I373" s="81">
        <f t="shared" si="87"/>
        <v>0</v>
      </c>
      <c r="J373" s="82"/>
      <c r="K373" s="83"/>
      <c r="L373" s="84">
        <f t="shared" si="88"/>
        <v>50</v>
      </c>
      <c r="M373" s="65"/>
      <c r="N373" s="65"/>
      <c r="O373" s="65"/>
      <c r="P373" s="65"/>
      <c r="Q373" s="65"/>
      <c r="R373" s="65"/>
      <c r="S373" s="65"/>
      <c r="T373" s="65"/>
      <c r="U373" s="65"/>
      <c r="V373" s="65"/>
      <c r="W373" s="65"/>
      <c r="X373" s="65"/>
      <c r="Y373" s="65"/>
      <c r="Z373" s="66"/>
      <c r="AA373" s="66"/>
      <c r="AB373" s="66"/>
    </row>
    <row r="374" hidden="1" outlineLevel="1">
      <c r="A374" s="71">
        <v>46716.0</v>
      </c>
      <c r="B374" s="100">
        <f t="shared" si="83"/>
        <v>0</v>
      </c>
      <c r="C374" s="75">
        <v>0.1</v>
      </c>
      <c r="D374" s="76">
        <v>0.05</v>
      </c>
      <c r="E374" s="77">
        <v>3.0</v>
      </c>
      <c r="F374" s="78" t="str">
        <f t="shared" si="84"/>
        <v>#DIV/0!</v>
      </c>
      <c r="G374" s="79">
        <f t="shared" si="85"/>
        <v>5</v>
      </c>
      <c r="H374" s="80">
        <f t="shared" si="86"/>
        <v>2.5</v>
      </c>
      <c r="I374" s="81">
        <f t="shared" si="87"/>
        <v>0</v>
      </c>
      <c r="J374" s="82"/>
      <c r="K374" s="83"/>
      <c r="L374" s="84">
        <f t="shared" si="88"/>
        <v>50</v>
      </c>
      <c r="M374" s="65"/>
      <c r="N374" s="65"/>
      <c r="O374" s="65"/>
      <c r="P374" s="65"/>
      <c r="Q374" s="65"/>
      <c r="R374" s="65"/>
      <c r="S374" s="65"/>
      <c r="T374" s="65"/>
      <c r="U374" s="65"/>
      <c r="V374" s="65"/>
      <c r="W374" s="65"/>
      <c r="X374" s="65"/>
      <c r="Y374" s="65"/>
      <c r="Z374" s="66"/>
      <c r="AA374" s="66"/>
      <c r="AB374" s="66"/>
    </row>
    <row r="375" hidden="1" outlineLevel="1">
      <c r="A375" s="71">
        <v>46717.0</v>
      </c>
      <c r="B375" s="100">
        <f t="shared" si="83"/>
        <v>0</v>
      </c>
      <c r="C375" s="75">
        <v>0.1</v>
      </c>
      <c r="D375" s="76">
        <v>0.05</v>
      </c>
      <c r="E375" s="77">
        <v>3.0</v>
      </c>
      <c r="F375" s="78" t="str">
        <f t="shared" si="84"/>
        <v>#DIV/0!</v>
      </c>
      <c r="G375" s="79">
        <f t="shared" si="85"/>
        <v>5</v>
      </c>
      <c r="H375" s="80">
        <f t="shared" si="86"/>
        <v>2.5</v>
      </c>
      <c r="I375" s="81">
        <f t="shared" si="87"/>
        <v>0</v>
      </c>
      <c r="J375" s="82"/>
      <c r="K375" s="83"/>
      <c r="L375" s="84">
        <f t="shared" si="88"/>
        <v>50</v>
      </c>
      <c r="M375" s="65"/>
      <c r="N375" s="65"/>
      <c r="O375" s="65"/>
      <c r="P375" s="65"/>
      <c r="Q375" s="65"/>
      <c r="R375" s="65"/>
      <c r="S375" s="65"/>
      <c r="T375" s="65"/>
      <c r="U375" s="65"/>
      <c r="V375" s="65"/>
      <c r="W375" s="65"/>
      <c r="X375" s="65"/>
      <c r="Y375" s="65"/>
      <c r="Z375" s="66"/>
      <c r="AA375" s="66"/>
      <c r="AB375" s="66"/>
    </row>
    <row r="376" hidden="1" outlineLevel="1">
      <c r="A376" s="71">
        <v>46718.0</v>
      </c>
      <c r="B376" s="100">
        <f t="shared" si="83"/>
        <v>0</v>
      </c>
      <c r="C376" s="75">
        <v>0.1</v>
      </c>
      <c r="D376" s="76">
        <v>0.05</v>
      </c>
      <c r="E376" s="77">
        <v>3.0</v>
      </c>
      <c r="F376" s="78" t="str">
        <f t="shared" si="84"/>
        <v>#DIV/0!</v>
      </c>
      <c r="G376" s="79">
        <f t="shared" si="85"/>
        <v>5</v>
      </c>
      <c r="H376" s="80">
        <f t="shared" si="86"/>
        <v>2.5</v>
      </c>
      <c r="I376" s="81">
        <f t="shared" si="87"/>
        <v>0</v>
      </c>
      <c r="J376" s="82"/>
      <c r="K376" s="83"/>
      <c r="L376" s="84">
        <f t="shared" si="88"/>
        <v>50</v>
      </c>
      <c r="M376" s="65"/>
      <c r="N376" s="65"/>
      <c r="O376" s="65"/>
      <c r="P376" s="65"/>
      <c r="Q376" s="65"/>
      <c r="R376" s="65"/>
      <c r="S376" s="65"/>
      <c r="T376" s="65"/>
      <c r="U376" s="65"/>
      <c r="V376" s="65"/>
      <c r="W376" s="65"/>
      <c r="X376" s="65"/>
      <c r="Y376" s="65"/>
      <c r="Z376" s="66"/>
      <c r="AA376" s="66"/>
      <c r="AB376" s="66"/>
    </row>
    <row r="377" hidden="1" outlineLevel="1">
      <c r="A377" s="71">
        <v>46719.0</v>
      </c>
      <c r="B377" s="100">
        <f t="shared" si="83"/>
        <v>0</v>
      </c>
      <c r="C377" s="75">
        <v>0.1</v>
      </c>
      <c r="D377" s="76">
        <v>0.05</v>
      </c>
      <c r="E377" s="77">
        <v>3.0</v>
      </c>
      <c r="F377" s="78" t="str">
        <f t="shared" si="84"/>
        <v>#DIV/0!</v>
      </c>
      <c r="G377" s="79">
        <f t="shared" si="85"/>
        <v>5</v>
      </c>
      <c r="H377" s="80">
        <f t="shared" si="86"/>
        <v>2.5</v>
      </c>
      <c r="I377" s="81">
        <f t="shared" si="87"/>
        <v>0</v>
      </c>
      <c r="J377" s="82"/>
      <c r="K377" s="83"/>
      <c r="L377" s="84">
        <f t="shared" si="88"/>
        <v>50</v>
      </c>
      <c r="M377" s="65"/>
      <c r="N377" s="65"/>
      <c r="O377" s="65"/>
      <c r="P377" s="65"/>
      <c r="Q377" s="65"/>
      <c r="R377" s="65"/>
      <c r="S377" s="65"/>
      <c r="T377" s="65"/>
      <c r="U377" s="65"/>
      <c r="V377" s="65"/>
      <c r="W377" s="65"/>
      <c r="X377" s="65"/>
      <c r="Y377" s="65"/>
      <c r="Z377" s="66"/>
      <c r="AA377" s="66"/>
      <c r="AB377" s="66"/>
    </row>
    <row r="378" hidden="1" outlineLevel="1">
      <c r="A378" s="71">
        <v>46720.0</v>
      </c>
      <c r="B378" s="100">
        <f t="shared" si="83"/>
        <v>0</v>
      </c>
      <c r="C378" s="75">
        <v>0.1</v>
      </c>
      <c r="D378" s="76">
        <v>0.05</v>
      </c>
      <c r="E378" s="77">
        <v>3.0</v>
      </c>
      <c r="F378" s="78" t="str">
        <f t="shared" si="84"/>
        <v>#DIV/0!</v>
      </c>
      <c r="G378" s="79">
        <f t="shared" si="85"/>
        <v>5</v>
      </c>
      <c r="H378" s="80">
        <f t="shared" si="86"/>
        <v>2.5</v>
      </c>
      <c r="I378" s="81">
        <f t="shared" si="87"/>
        <v>0</v>
      </c>
      <c r="J378" s="82"/>
      <c r="K378" s="83"/>
      <c r="L378" s="84">
        <f t="shared" si="88"/>
        <v>50</v>
      </c>
      <c r="M378" s="65"/>
      <c r="N378" s="65"/>
      <c r="O378" s="65"/>
      <c r="P378" s="65"/>
      <c r="Q378" s="65"/>
      <c r="R378" s="65"/>
      <c r="S378" s="65"/>
      <c r="T378" s="65"/>
      <c r="U378" s="65"/>
      <c r="V378" s="65"/>
      <c r="W378" s="65"/>
      <c r="X378" s="65"/>
      <c r="Y378" s="65"/>
      <c r="Z378" s="66"/>
      <c r="AA378" s="66"/>
      <c r="AB378" s="66"/>
    </row>
    <row r="379" hidden="1" outlineLevel="1">
      <c r="A379" s="71">
        <v>46721.0</v>
      </c>
      <c r="B379" s="100">
        <f t="shared" si="83"/>
        <v>0</v>
      </c>
      <c r="C379" s="75">
        <v>0.1</v>
      </c>
      <c r="D379" s="76">
        <v>0.05</v>
      </c>
      <c r="E379" s="77">
        <v>3.0</v>
      </c>
      <c r="F379" s="78" t="str">
        <f t="shared" si="84"/>
        <v>#DIV/0!</v>
      </c>
      <c r="G379" s="79">
        <f t="shared" si="85"/>
        <v>5</v>
      </c>
      <c r="H379" s="80">
        <f t="shared" si="86"/>
        <v>2.5</v>
      </c>
      <c r="I379" s="81">
        <f t="shared" si="87"/>
        <v>0</v>
      </c>
      <c r="J379" s="82"/>
      <c r="K379" s="83"/>
      <c r="L379" s="84">
        <f t="shared" si="88"/>
        <v>50</v>
      </c>
      <c r="M379" s="65"/>
      <c r="N379" s="65"/>
      <c r="O379" s="65"/>
      <c r="P379" s="65"/>
      <c r="Q379" s="65"/>
      <c r="R379" s="65"/>
      <c r="S379" s="65"/>
      <c r="T379" s="65"/>
      <c r="U379" s="65"/>
      <c r="V379" s="65"/>
      <c r="W379" s="65"/>
      <c r="X379" s="65"/>
      <c r="Y379" s="65"/>
      <c r="Z379" s="66"/>
      <c r="AA379" s="66"/>
      <c r="AB379" s="66"/>
    </row>
    <row r="380" hidden="1" outlineLevel="1">
      <c r="A380" s="85" t="s">
        <v>41</v>
      </c>
      <c r="C380" s="86">
        <f>SUM(C350:C379)</f>
        <v>3</v>
      </c>
      <c r="D380" s="87"/>
      <c r="E380" s="87"/>
      <c r="F380" s="87"/>
      <c r="G380" s="87"/>
      <c r="H380" s="87"/>
      <c r="I380" s="87" t="str">
        <f t="shared" ref="I380:K380" si="89">SUM(I350:I379)</f>
        <v>#DIV/0!</v>
      </c>
      <c r="J380" s="89">
        <f t="shared" si="89"/>
        <v>0</v>
      </c>
      <c r="K380" s="87">
        <f t="shared" si="89"/>
        <v>0</v>
      </c>
      <c r="L380" s="89">
        <f>L379</f>
        <v>50</v>
      </c>
      <c r="M380" s="65"/>
      <c r="N380" s="65"/>
      <c r="O380" s="65"/>
      <c r="P380" s="65"/>
      <c r="Q380" s="65"/>
      <c r="R380" s="65"/>
      <c r="S380" s="65"/>
      <c r="T380" s="65"/>
      <c r="U380" s="65"/>
      <c r="V380" s="65"/>
      <c r="W380" s="65"/>
      <c r="X380" s="65"/>
      <c r="Y380" s="65"/>
      <c r="Z380" s="66"/>
      <c r="AA380" s="66"/>
      <c r="AB380" s="66"/>
    </row>
    <row r="381">
      <c r="A381" s="95"/>
      <c r="B381" s="92"/>
      <c r="C381" s="92"/>
      <c r="D381" s="92"/>
      <c r="E381" s="92"/>
      <c r="F381" s="92"/>
      <c r="G381" s="92"/>
      <c r="H381" s="92"/>
      <c r="I381" s="92"/>
      <c r="J381" s="92"/>
      <c r="K381" s="94">
        <f>SUM(K350:K379)</f>
        <v>0</v>
      </c>
      <c r="L381" s="92"/>
      <c r="M381" s="65"/>
      <c r="N381" s="65"/>
      <c r="O381" s="65"/>
      <c r="P381" s="65"/>
      <c r="Q381" s="65"/>
      <c r="R381" s="65"/>
      <c r="S381" s="65"/>
      <c r="T381" s="65"/>
      <c r="U381" s="65"/>
      <c r="V381" s="65"/>
      <c r="W381" s="65"/>
      <c r="X381" s="65"/>
      <c r="Y381" s="65"/>
      <c r="Z381" s="66"/>
      <c r="AA381" s="66"/>
      <c r="AB381" s="66"/>
    </row>
    <row r="382" collapsed="1">
      <c r="A382" s="57" t="s">
        <v>53</v>
      </c>
      <c r="M382" s="65"/>
      <c r="N382" s="65"/>
      <c r="O382" s="65"/>
      <c r="P382" s="65"/>
      <c r="Q382" s="65"/>
      <c r="R382" s="65"/>
      <c r="S382" s="65"/>
      <c r="T382" s="65"/>
      <c r="U382" s="65"/>
      <c r="V382" s="65"/>
      <c r="W382" s="65"/>
      <c r="X382" s="65"/>
      <c r="Y382" s="65"/>
      <c r="Z382" s="66"/>
      <c r="AA382" s="66"/>
      <c r="AB382" s="66"/>
    </row>
    <row r="383" hidden="1" outlineLevel="1">
      <c r="A383" s="71" t="s">
        <v>29</v>
      </c>
      <c r="B383" s="57" t="s">
        <v>30</v>
      </c>
      <c r="C383" s="57" t="s">
        <v>31</v>
      </c>
      <c r="D383" s="72" t="s">
        <v>32</v>
      </c>
      <c r="E383" s="72" t="s">
        <v>33</v>
      </c>
      <c r="F383" s="72" t="s">
        <v>34</v>
      </c>
      <c r="G383" s="73" t="s">
        <v>35</v>
      </c>
      <c r="H383" s="72" t="s">
        <v>36</v>
      </c>
      <c r="I383" s="57" t="s">
        <v>37</v>
      </c>
      <c r="J383" s="74" t="s">
        <v>38</v>
      </c>
      <c r="K383" s="57" t="s">
        <v>39</v>
      </c>
      <c r="L383" s="57" t="s">
        <v>40</v>
      </c>
      <c r="M383" s="65"/>
      <c r="N383" s="65"/>
      <c r="O383" s="65"/>
      <c r="P383" s="65"/>
      <c r="Q383" s="65"/>
      <c r="R383" s="65"/>
      <c r="S383" s="65"/>
      <c r="T383" s="65"/>
      <c r="U383" s="65"/>
      <c r="V383" s="65"/>
      <c r="W383" s="65"/>
      <c r="X383" s="65"/>
      <c r="Y383" s="65"/>
      <c r="Z383" s="66"/>
      <c r="AA383" s="66"/>
      <c r="AB383" s="66"/>
    </row>
    <row r="384" hidden="1" outlineLevel="1">
      <c r="A384" s="71">
        <v>46722.0</v>
      </c>
      <c r="B384" s="100">
        <f t="shared" ref="B384:B414" si="90">ROUND(AVERAGE((H384/1000)/E384), 2)</f>
        <v>0</v>
      </c>
      <c r="C384" s="75">
        <v>0.1</v>
      </c>
      <c r="D384" s="76">
        <v>0.05</v>
      </c>
      <c r="E384" s="77">
        <v>3.0</v>
      </c>
      <c r="F384" s="78" t="str">
        <f t="shared" ref="F384:F414" si="91">H384/B384</f>
        <v>#DIV/0!</v>
      </c>
      <c r="G384" s="79">
        <f>L380*C384</f>
        <v>5</v>
      </c>
      <c r="H384" s="80">
        <f>L380*D384</f>
        <v>2.5</v>
      </c>
      <c r="I384" s="81" t="str">
        <f>(J384/B379)*100</f>
        <v>#DIV/0!</v>
      </c>
      <c r="J384" s="82"/>
      <c r="K384" s="83"/>
      <c r="L384" s="84">
        <f>(L380+J384)-K384</f>
        <v>50</v>
      </c>
      <c r="M384" s="65"/>
      <c r="N384" s="65"/>
      <c r="O384" s="65"/>
      <c r="P384" s="65"/>
      <c r="Q384" s="65"/>
      <c r="R384" s="65"/>
      <c r="S384" s="65"/>
      <c r="T384" s="65"/>
      <c r="U384" s="65"/>
      <c r="V384" s="65"/>
      <c r="W384" s="65"/>
      <c r="X384" s="65"/>
      <c r="Y384" s="65"/>
      <c r="Z384" s="66"/>
      <c r="AA384" s="66"/>
      <c r="AB384" s="66"/>
    </row>
    <row r="385" hidden="1" outlineLevel="1">
      <c r="A385" s="71">
        <v>46723.0</v>
      </c>
      <c r="B385" s="100">
        <f t="shared" si="90"/>
        <v>0</v>
      </c>
      <c r="C385" s="75">
        <v>0.1</v>
      </c>
      <c r="D385" s="76">
        <v>0.05</v>
      </c>
      <c r="E385" s="77">
        <v>3.0</v>
      </c>
      <c r="F385" s="78" t="str">
        <f t="shared" si="91"/>
        <v>#DIV/0!</v>
      </c>
      <c r="G385" s="79">
        <f t="shared" ref="G385:G414" si="92">L384*C385</f>
        <v>5</v>
      </c>
      <c r="H385" s="80">
        <f t="shared" ref="H385:H414" si="93">L384*D385</f>
        <v>2.5</v>
      </c>
      <c r="I385" s="81">
        <f t="shared" ref="I385:I414" si="94">(J385/L384)*100</f>
        <v>0</v>
      </c>
      <c r="J385" s="82"/>
      <c r="K385" s="83"/>
      <c r="L385" s="84">
        <f t="shared" ref="L385:L414" si="95">(L384+J385)-K385</f>
        <v>50</v>
      </c>
      <c r="M385" s="65"/>
      <c r="N385" s="65"/>
      <c r="O385" s="65"/>
      <c r="P385" s="65"/>
      <c r="Q385" s="65"/>
      <c r="R385" s="65"/>
      <c r="S385" s="65"/>
      <c r="T385" s="65"/>
      <c r="U385" s="65"/>
      <c r="V385" s="65"/>
      <c r="W385" s="65"/>
      <c r="X385" s="65"/>
      <c r="Y385" s="65"/>
      <c r="Z385" s="66"/>
      <c r="AA385" s="66"/>
      <c r="AB385" s="66"/>
    </row>
    <row r="386" hidden="1" outlineLevel="1">
      <c r="A386" s="71">
        <v>46724.0</v>
      </c>
      <c r="B386" s="100">
        <f t="shared" si="90"/>
        <v>0</v>
      </c>
      <c r="C386" s="75">
        <v>0.1</v>
      </c>
      <c r="D386" s="76">
        <v>0.05</v>
      </c>
      <c r="E386" s="77">
        <v>3.0</v>
      </c>
      <c r="F386" s="78" t="str">
        <f t="shared" si="91"/>
        <v>#DIV/0!</v>
      </c>
      <c r="G386" s="79">
        <f t="shared" si="92"/>
        <v>5</v>
      </c>
      <c r="H386" s="80">
        <f t="shared" si="93"/>
        <v>2.5</v>
      </c>
      <c r="I386" s="81">
        <f t="shared" si="94"/>
        <v>0</v>
      </c>
      <c r="J386" s="82"/>
      <c r="K386" s="83"/>
      <c r="L386" s="84">
        <f t="shared" si="95"/>
        <v>50</v>
      </c>
      <c r="M386" s="65"/>
      <c r="N386" s="65"/>
      <c r="O386" s="65"/>
      <c r="P386" s="65"/>
      <c r="Q386" s="65"/>
      <c r="R386" s="65"/>
      <c r="S386" s="65"/>
      <c r="T386" s="65"/>
      <c r="U386" s="65"/>
      <c r="V386" s="65"/>
      <c r="W386" s="65"/>
      <c r="X386" s="65"/>
      <c r="Y386" s="65"/>
      <c r="Z386" s="66"/>
      <c r="AA386" s="66"/>
      <c r="AB386" s="66"/>
    </row>
    <row r="387" hidden="1" outlineLevel="1">
      <c r="A387" s="71">
        <v>46725.0</v>
      </c>
      <c r="B387" s="100">
        <f t="shared" si="90"/>
        <v>0</v>
      </c>
      <c r="C387" s="75">
        <v>0.1</v>
      </c>
      <c r="D387" s="76">
        <v>0.05</v>
      </c>
      <c r="E387" s="77">
        <v>3.0</v>
      </c>
      <c r="F387" s="78" t="str">
        <f t="shared" si="91"/>
        <v>#DIV/0!</v>
      </c>
      <c r="G387" s="79">
        <f t="shared" si="92"/>
        <v>5</v>
      </c>
      <c r="H387" s="80">
        <f t="shared" si="93"/>
        <v>2.5</v>
      </c>
      <c r="I387" s="81">
        <f t="shared" si="94"/>
        <v>0</v>
      </c>
      <c r="J387" s="82"/>
      <c r="K387" s="83"/>
      <c r="L387" s="84">
        <f t="shared" si="95"/>
        <v>50</v>
      </c>
      <c r="M387" s="65"/>
      <c r="N387" s="65"/>
      <c r="O387" s="65"/>
      <c r="P387" s="65"/>
      <c r="Q387" s="65"/>
      <c r="R387" s="65"/>
      <c r="S387" s="65"/>
      <c r="T387" s="65"/>
      <c r="U387" s="65"/>
      <c r="V387" s="65"/>
      <c r="W387" s="65"/>
      <c r="X387" s="65"/>
      <c r="Y387" s="65"/>
      <c r="Z387" s="66"/>
      <c r="AA387" s="66"/>
      <c r="AB387" s="66"/>
    </row>
    <row r="388" hidden="1" outlineLevel="1">
      <c r="A388" s="71">
        <v>46726.0</v>
      </c>
      <c r="B388" s="100">
        <f t="shared" si="90"/>
        <v>0</v>
      </c>
      <c r="C388" s="75">
        <v>0.1</v>
      </c>
      <c r="D388" s="76">
        <v>0.05</v>
      </c>
      <c r="E388" s="77">
        <v>3.0</v>
      </c>
      <c r="F388" s="78" t="str">
        <f t="shared" si="91"/>
        <v>#DIV/0!</v>
      </c>
      <c r="G388" s="79">
        <f t="shared" si="92"/>
        <v>5</v>
      </c>
      <c r="H388" s="80">
        <f t="shared" si="93"/>
        <v>2.5</v>
      </c>
      <c r="I388" s="81">
        <f t="shared" si="94"/>
        <v>0</v>
      </c>
      <c r="J388" s="82"/>
      <c r="K388" s="83"/>
      <c r="L388" s="84">
        <f t="shared" si="95"/>
        <v>50</v>
      </c>
      <c r="M388" s="65"/>
      <c r="N388" s="65"/>
      <c r="O388" s="65"/>
      <c r="P388" s="65"/>
      <c r="Q388" s="65"/>
      <c r="R388" s="65"/>
      <c r="S388" s="65"/>
      <c r="T388" s="65"/>
      <c r="U388" s="65"/>
      <c r="V388" s="65"/>
      <c r="W388" s="65"/>
      <c r="X388" s="65"/>
      <c r="Y388" s="65"/>
      <c r="Z388" s="66"/>
      <c r="AA388" s="66"/>
      <c r="AB388" s="66"/>
    </row>
    <row r="389" hidden="1" outlineLevel="1">
      <c r="A389" s="71">
        <v>46727.0</v>
      </c>
      <c r="B389" s="100">
        <f t="shared" si="90"/>
        <v>0</v>
      </c>
      <c r="C389" s="75">
        <v>0.1</v>
      </c>
      <c r="D389" s="76">
        <v>0.05</v>
      </c>
      <c r="E389" s="77">
        <v>3.0</v>
      </c>
      <c r="F389" s="78" t="str">
        <f t="shared" si="91"/>
        <v>#DIV/0!</v>
      </c>
      <c r="G389" s="79">
        <f t="shared" si="92"/>
        <v>5</v>
      </c>
      <c r="H389" s="80">
        <f t="shared" si="93"/>
        <v>2.5</v>
      </c>
      <c r="I389" s="81">
        <f t="shared" si="94"/>
        <v>0</v>
      </c>
      <c r="J389" s="82"/>
      <c r="K389" s="83"/>
      <c r="L389" s="84">
        <f t="shared" si="95"/>
        <v>50</v>
      </c>
      <c r="M389" s="65"/>
      <c r="N389" s="65"/>
      <c r="O389" s="65"/>
      <c r="P389" s="65"/>
      <c r="Q389" s="65"/>
      <c r="R389" s="65"/>
      <c r="S389" s="65"/>
      <c r="T389" s="65"/>
      <c r="U389" s="65"/>
      <c r="V389" s="65"/>
      <c r="W389" s="65"/>
      <c r="X389" s="65"/>
      <c r="Y389" s="65"/>
      <c r="Z389" s="66"/>
      <c r="AA389" s="66"/>
      <c r="AB389" s="66"/>
    </row>
    <row r="390" hidden="1" outlineLevel="1">
      <c r="A390" s="71">
        <v>46728.0</v>
      </c>
      <c r="B390" s="100">
        <f t="shared" si="90"/>
        <v>0</v>
      </c>
      <c r="C390" s="75">
        <v>0.1</v>
      </c>
      <c r="D390" s="76">
        <v>0.05</v>
      </c>
      <c r="E390" s="77">
        <v>3.0</v>
      </c>
      <c r="F390" s="78" t="str">
        <f t="shared" si="91"/>
        <v>#DIV/0!</v>
      </c>
      <c r="G390" s="79">
        <f t="shared" si="92"/>
        <v>5</v>
      </c>
      <c r="H390" s="80">
        <f t="shared" si="93"/>
        <v>2.5</v>
      </c>
      <c r="I390" s="81">
        <f t="shared" si="94"/>
        <v>0</v>
      </c>
      <c r="J390" s="82"/>
      <c r="K390" s="83"/>
      <c r="L390" s="84">
        <f t="shared" si="95"/>
        <v>50</v>
      </c>
      <c r="M390" s="65"/>
      <c r="N390" s="65"/>
      <c r="O390" s="65"/>
      <c r="P390" s="65"/>
      <c r="Q390" s="65"/>
      <c r="R390" s="65"/>
      <c r="S390" s="65"/>
      <c r="T390" s="65"/>
      <c r="U390" s="65"/>
      <c r="V390" s="65"/>
      <c r="W390" s="65"/>
      <c r="X390" s="65"/>
      <c r="Y390" s="65"/>
      <c r="Z390" s="66"/>
      <c r="AA390" s="66"/>
      <c r="AB390" s="66"/>
    </row>
    <row r="391" hidden="1" outlineLevel="1">
      <c r="A391" s="71">
        <v>46729.0</v>
      </c>
      <c r="B391" s="100">
        <f t="shared" si="90"/>
        <v>0</v>
      </c>
      <c r="C391" s="75">
        <v>0.1</v>
      </c>
      <c r="D391" s="76">
        <v>0.05</v>
      </c>
      <c r="E391" s="77">
        <v>3.0</v>
      </c>
      <c r="F391" s="78" t="str">
        <f t="shared" si="91"/>
        <v>#DIV/0!</v>
      </c>
      <c r="G391" s="79">
        <f t="shared" si="92"/>
        <v>5</v>
      </c>
      <c r="H391" s="80">
        <f t="shared" si="93"/>
        <v>2.5</v>
      </c>
      <c r="I391" s="81">
        <f t="shared" si="94"/>
        <v>0</v>
      </c>
      <c r="J391" s="82"/>
      <c r="K391" s="83"/>
      <c r="L391" s="84">
        <f t="shared" si="95"/>
        <v>50</v>
      </c>
      <c r="M391" s="65"/>
      <c r="N391" s="65"/>
      <c r="O391" s="65"/>
      <c r="P391" s="65"/>
      <c r="Q391" s="65"/>
      <c r="R391" s="65"/>
      <c r="S391" s="65"/>
      <c r="T391" s="65"/>
      <c r="U391" s="65"/>
      <c r="V391" s="65"/>
      <c r="W391" s="65"/>
      <c r="X391" s="65"/>
      <c r="Y391" s="65"/>
      <c r="Z391" s="66"/>
      <c r="AA391" s="66"/>
      <c r="AB391" s="66"/>
    </row>
    <row r="392" hidden="1" outlineLevel="1">
      <c r="A392" s="71">
        <v>46730.0</v>
      </c>
      <c r="B392" s="100">
        <f t="shared" si="90"/>
        <v>0</v>
      </c>
      <c r="C392" s="75">
        <v>0.1</v>
      </c>
      <c r="D392" s="76">
        <v>0.05</v>
      </c>
      <c r="E392" s="77">
        <v>3.0</v>
      </c>
      <c r="F392" s="78" t="str">
        <f t="shared" si="91"/>
        <v>#DIV/0!</v>
      </c>
      <c r="G392" s="79">
        <f t="shared" si="92"/>
        <v>5</v>
      </c>
      <c r="H392" s="80">
        <f t="shared" si="93"/>
        <v>2.5</v>
      </c>
      <c r="I392" s="81">
        <f t="shared" si="94"/>
        <v>0</v>
      </c>
      <c r="J392" s="82"/>
      <c r="K392" s="83"/>
      <c r="L392" s="84">
        <f t="shared" si="95"/>
        <v>50</v>
      </c>
      <c r="M392" s="65"/>
      <c r="N392" s="65"/>
      <c r="O392" s="65"/>
      <c r="P392" s="65"/>
      <c r="Q392" s="65"/>
      <c r="R392" s="65"/>
      <c r="S392" s="65"/>
      <c r="T392" s="65"/>
      <c r="U392" s="65"/>
      <c r="V392" s="65"/>
      <c r="W392" s="65"/>
      <c r="X392" s="65"/>
      <c r="Y392" s="65"/>
      <c r="Z392" s="66"/>
      <c r="AA392" s="66"/>
      <c r="AB392" s="66"/>
    </row>
    <row r="393" hidden="1" outlineLevel="1">
      <c r="A393" s="71">
        <v>46731.0</v>
      </c>
      <c r="B393" s="100">
        <f t="shared" si="90"/>
        <v>0</v>
      </c>
      <c r="C393" s="75">
        <v>0.1</v>
      </c>
      <c r="D393" s="76">
        <v>0.05</v>
      </c>
      <c r="E393" s="77">
        <v>3.0</v>
      </c>
      <c r="F393" s="78" t="str">
        <f t="shared" si="91"/>
        <v>#DIV/0!</v>
      </c>
      <c r="G393" s="79">
        <f t="shared" si="92"/>
        <v>5</v>
      </c>
      <c r="H393" s="80">
        <f t="shared" si="93"/>
        <v>2.5</v>
      </c>
      <c r="I393" s="81">
        <f t="shared" si="94"/>
        <v>0</v>
      </c>
      <c r="J393" s="82"/>
      <c r="K393" s="83"/>
      <c r="L393" s="84">
        <f t="shared" si="95"/>
        <v>50</v>
      </c>
      <c r="M393" s="65"/>
      <c r="N393" s="65"/>
      <c r="O393" s="65"/>
      <c r="P393" s="65"/>
      <c r="Q393" s="65"/>
      <c r="R393" s="65"/>
      <c r="S393" s="65"/>
      <c r="T393" s="65"/>
      <c r="U393" s="65"/>
      <c r="V393" s="65"/>
      <c r="W393" s="65"/>
      <c r="X393" s="65"/>
      <c r="Y393" s="65"/>
      <c r="Z393" s="66"/>
      <c r="AA393" s="66"/>
      <c r="AB393" s="66"/>
    </row>
    <row r="394" hidden="1" outlineLevel="1">
      <c r="A394" s="71">
        <v>46732.0</v>
      </c>
      <c r="B394" s="100">
        <f t="shared" si="90"/>
        <v>0</v>
      </c>
      <c r="C394" s="75">
        <v>0.1</v>
      </c>
      <c r="D394" s="76">
        <v>0.05</v>
      </c>
      <c r="E394" s="77">
        <v>3.0</v>
      </c>
      <c r="F394" s="78" t="str">
        <f t="shared" si="91"/>
        <v>#DIV/0!</v>
      </c>
      <c r="G394" s="79">
        <f t="shared" si="92"/>
        <v>5</v>
      </c>
      <c r="H394" s="80">
        <f t="shared" si="93"/>
        <v>2.5</v>
      </c>
      <c r="I394" s="81">
        <f t="shared" si="94"/>
        <v>0</v>
      </c>
      <c r="J394" s="82"/>
      <c r="K394" s="83"/>
      <c r="L394" s="84">
        <f t="shared" si="95"/>
        <v>50</v>
      </c>
      <c r="M394" s="65"/>
      <c r="N394" s="65"/>
      <c r="O394" s="65"/>
      <c r="P394" s="65"/>
      <c r="Q394" s="65"/>
      <c r="R394" s="65"/>
      <c r="S394" s="65"/>
      <c r="T394" s="65"/>
      <c r="U394" s="65"/>
      <c r="V394" s="65"/>
      <c r="W394" s="65"/>
      <c r="X394" s="65"/>
      <c r="Y394" s="65"/>
      <c r="Z394" s="66"/>
      <c r="AA394" s="66"/>
      <c r="AB394" s="66"/>
    </row>
    <row r="395" hidden="1" outlineLevel="1">
      <c r="A395" s="71">
        <v>46733.0</v>
      </c>
      <c r="B395" s="100">
        <f t="shared" si="90"/>
        <v>0</v>
      </c>
      <c r="C395" s="75">
        <v>0.1</v>
      </c>
      <c r="D395" s="76">
        <v>0.05</v>
      </c>
      <c r="E395" s="77">
        <v>3.0</v>
      </c>
      <c r="F395" s="78" t="str">
        <f t="shared" si="91"/>
        <v>#DIV/0!</v>
      </c>
      <c r="G395" s="79">
        <f t="shared" si="92"/>
        <v>5</v>
      </c>
      <c r="H395" s="80">
        <f t="shared" si="93"/>
        <v>2.5</v>
      </c>
      <c r="I395" s="81">
        <f t="shared" si="94"/>
        <v>0</v>
      </c>
      <c r="J395" s="82"/>
      <c r="K395" s="83"/>
      <c r="L395" s="84">
        <f t="shared" si="95"/>
        <v>50</v>
      </c>
      <c r="M395" s="65"/>
      <c r="N395" s="65"/>
      <c r="O395" s="65"/>
      <c r="P395" s="65"/>
      <c r="Q395" s="65"/>
      <c r="R395" s="65"/>
      <c r="S395" s="65"/>
      <c r="T395" s="65"/>
      <c r="U395" s="65"/>
      <c r="V395" s="65"/>
      <c r="W395" s="65"/>
      <c r="X395" s="65"/>
      <c r="Y395" s="65"/>
      <c r="Z395" s="66"/>
      <c r="AA395" s="66"/>
      <c r="AB395" s="66"/>
    </row>
    <row r="396" hidden="1" outlineLevel="1">
      <c r="A396" s="71">
        <v>46734.0</v>
      </c>
      <c r="B396" s="100">
        <f t="shared" si="90"/>
        <v>0</v>
      </c>
      <c r="C396" s="75">
        <v>0.1</v>
      </c>
      <c r="D396" s="76">
        <v>0.05</v>
      </c>
      <c r="E396" s="77">
        <v>3.0</v>
      </c>
      <c r="F396" s="78" t="str">
        <f t="shared" si="91"/>
        <v>#DIV/0!</v>
      </c>
      <c r="G396" s="79">
        <f t="shared" si="92"/>
        <v>5</v>
      </c>
      <c r="H396" s="80">
        <f t="shared" si="93"/>
        <v>2.5</v>
      </c>
      <c r="I396" s="81">
        <f t="shared" si="94"/>
        <v>0</v>
      </c>
      <c r="J396" s="82"/>
      <c r="K396" s="83"/>
      <c r="L396" s="84">
        <f t="shared" si="95"/>
        <v>50</v>
      </c>
      <c r="M396" s="65"/>
      <c r="N396" s="65"/>
      <c r="O396" s="65"/>
      <c r="P396" s="65"/>
      <c r="Q396" s="65"/>
      <c r="R396" s="65"/>
      <c r="S396" s="65"/>
      <c r="T396" s="65"/>
      <c r="U396" s="65"/>
      <c r="V396" s="65"/>
      <c r="W396" s="65"/>
      <c r="X396" s="65"/>
      <c r="Y396" s="65"/>
      <c r="Z396" s="66"/>
      <c r="AA396" s="66"/>
      <c r="AB396" s="66"/>
    </row>
    <row r="397" hidden="1" outlineLevel="1">
      <c r="A397" s="71">
        <v>46735.0</v>
      </c>
      <c r="B397" s="100">
        <f t="shared" si="90"/>
        <v>0</v>
      </c>
      <c r="C397" s="75">
        <v>0.1</v>
      </c>
      <c r="D397" s="76">
        <v>0.05</v>
      </c>
      <c r="E397" s="77">
        <v>3.0</v>
      </c>
      <c r="F397" s="78" t="str">
        <f t="shared" si="91"/>
        <v>#DIV/0!</v>
      </c>
      <c r="G397" s="79">
        <f t="shared" si="92"/>
        <v>5</v>
      </c>
      <c r="H397" s="80">
        <f t="shared" si="93"/>
        <v>2.5</v>
      </c>
      <c r="I397" s="81">
        <f t="shared" si="94"/>
        <v>0</v>
      </c>
      <c r="J397" s="82"/>
      <c r="K397" s="83"/>
      <c r="L397" s="84">
        <f t="shared" si="95"/>
        <v>50</v>
      </c>
      <c r="M397" s="65"/>
      <c r="N397" s="65"/>
      <c r="O397" s="65"/>
      <c r="P397" s="65"/>
      <c r="Q397" s="65"/>
      <c r="R397" s="65"/>
      <c r="S397" s="65"/>
      <c r="T397" s="65"/>
      <c r="U397" s="65"/>
      <c r="V397" s="65"/>
      <c r="W397" s="65"/>
      <c r="X397" s="65"/>
      <c r="Y397" s="65"/>
      <c r="Z397" s="66"/>
      <c r="AA397" s="66"/>
      <c r="AB397" s="66"/>
    </row>
    <row r="398" hidden="1" outlineLevel="1">
      <c r="A398" s="71">
        <v>46736.0</v>
      </c>
      <c r="B398" s="100">
        <f t="shared" si="90"/>
        <v>0</v>
      </c>
      <c r="C398" s="75">
        <v>0.1</v>
      </c>
      <c r="D398" s="76">
        <v>0.05</v>
      </c>
      <c r="E398" s="77">
        <v>3.0</v>
      </c>
      <c r="F398" s="78" t="str">
        <f t="shared" si="91"/>
        <v>#DIV/0!</v>
      </c>
      <c r="G398" s="79">
        <f t="shared" si="92"/>
        <v>5</v>
      </c>
      <c r="H398" s="80">
        <f t="shared" si="93"/>
        <v>2.5</v>
      </c>
      <c r="I398" s="81">
        <f t="shared" si="94"/>
        <v>0</v>
      </c>
      <c r="J398" s="82"/>
      <c r="K398" s="83"/>
      <c r="L398" s="84">
        <f t="shared" si="95"/>
        <v>50</v>
      </c>
      <c r="M398" s="65"/>
      <c r="N398" s="65"/>
      <c r="O398" s="65"/>
      <c r="P398" s="65"/>
      <c r="Q398" s="65"/>
      <c r="R398" s="65"/>
      <c r="S398" s="65"/>
      <c r="T398" s="65"/>
      <c r="U398" s="65"/>
      <c r="V398" s="65"/>
      <c r="W398" s="65"/>
      <c r="X398" s="65"/>
      <c r="Y398" s="65"/>
      <c r="Z398" s="66"/>
      <c r="AA398" s="66"/>
      <c r="AB398" s="66"/>
    </row>
    <row r="399" hidden="1" outlineLevel="1">
      <c r="A399" s="71">
        <v>46737.0</v>
      </c>
      <c r="B399" s="100">
        <f t="shared" si="90"/>
        <v>0</v>
      </c>
      <c r="C399" s="75">
        <v>0.1</v>
      </c>
      <c r="D399" s="76">
        <v>0.05</v>
      </c>
      <c r="E399" s="77">
        <v>3.0</v>
      </c>
      <c r="F399" s="78" t="str">
        <f t="shared" si="91"/>
        <v>#DIV/0!</v>
      </c>
      <c r="G399" s="79">
        <f t="shared" si="92"/>
        <v>5</v>
      </c>
      <c r="H399" s="80">
        <f t="shared" si="93"/>
        <v>2.5</v>
      </c>
      <c r="I399" s="81">
        <f t="shared" si="94"/>
        <v>0</v>
      </c>
      <c r="J399" s="82"/>
      <c r="K399" s="83"/>
      <c r="L399" s="84">
        <f t="shared" si="95"/>
        <v>50</v>
      </c>
      <c r="M399" s="65"/>
      <c r="N399" s="65"/>
      <c r="O399" s="65"/>
      <c r="P399" s="65"/>
      <c r="Q399" s="65"/>
      <c r="R399" s="65"/>
      <c r="S399" s="65"/>
      <c r="T399" s="65"/>
      <c r="U399" s="65"/>
      <c r="V399" s="65"/>
      <c r="W399" s="65"/>
      <c r="X399" s="65"/>
      <c r="Y399" s="65"/>
      <c r="Z399" s="66"/>
      <c r="AA399" s="66"/>
      <c r="AB399" s="66"/>
    </row>
    <row r="400" hidden="1" outlineLevel="1">
      <c r="A400" s="71">
        <v>46738.0</v>
      </c>
      <c r="B400" s="100">
        <f t="shared" si="90"/>
        <v>0</v>
      </c>
      <c r="C400" s="75">
        <v>0.1</v>
      </c>
      <c r="D400" s="76">
        <v>0.05</v>
      </c>
      <c r="E400" s="77">
        <v>3.0</v>
      </c>
      <c r="F400" s="78" t="str">
        <f t="shared" si="91"/>
        <v>#DIV/0!</v>
      </c>
      <c r="G400" s="79">
        <f t="shared" si="92"/>
        <v>5</v>
      </c>
      <c r="H400" s="80">
        <f t="shared" si="93"/>
        <v>2.5</v>
      </c>
      <c r="I400" s="81">
        <f t="shared" si="94"/>
        <v>0</v>
      </c>
      <c r="J400" s="82"/>
      <c r="K400" s="83"/>
      <c r="L400" s="84">
        <f t="shared" si="95"/>
        <v>50</v>
      </c>
      <c r="M400" s="65"/>
      <c r="N400" s="65"/>
      <c r="O400" s="65"/>
      <c r="P400" s="65"/>
      <c r="Q400" s="65"/>
      <c r="R400" s="65"/>
      <c r="S400" s="65"/>
      <c r="T400" s="65"/>
      <c r="U400" s="65"/>
      <c r="V400" s="65"/>
      <c r="W400" s="65"/>
      <c r="X400" s="65"/>
      <c r="Y400" s="65"/>
      <c r="Z400" s="66"/>
      <c r="AA400" s="66"/>
      <c r="AB400" s="66"/>
    </row>
    <row r="401" hidden="1" outlineLevel="1">
      <c r="A401" s="71">
        <v>46739.0</v>
      </c>
      <c r="B401" s="100">
        <f t="shared" si="90"/>
        <v>0</v>
      </c>
      <c r="C401" s="75">
        <v>0.1</v>
      </c>
      <c r="D401" s="76">
        <v>0.05</v>
      </c>
      <c r="E401" s="77">
        <v>3.0</v>
      </c>
      <c r="F401" s="78" t="str">
        <f t="shared" si="91"/>
        <v>#DIV/0!</v>
      </c>
      <c r="G401" s="79">
        <f t="shared" si="92"/>
        <v>5</v>
      </c>
      <c r="H401" s="80">
        <f t="shared" si="93"/>
        <v>2.5</v>
      </c>
      <c r="I401" s="81">
        <f t="shared" si="94"/>
        <v>0</v>
      </c>
      <c r="J401" s="82"/>
      <c r="K401" s="83"/>
      <c r="L401" s="84">
        <f t="shared" si="95"/>
        <v>50</v>
      </c>
      <c r="M401" s="65"/>
      <c r="N401" s="65"/>
      <c r="O401" s="65"/>
      <c r="P401" s="65"/>
      <c r="Q401" s="65"/>
      <c r="R401" s="65"/>
      <c r="S401" s="65"/>
      <c r="T401" s="65"/>
      <c r="U401" s="65"/>
      <c r="V401" s="65"/>
      <c r="W401" s="65"/>
      <c r="X401" s="65"/>
      <c r="Y401" s="65"/>
      <c r="Z401" s="66"/>
      <c r="AA401" s="66"/>
      <c r="AB401" s="66"/>
    </row>
    <row r="402" hidden="1" outlineLevel="1">
      <c r="A402" s="71">
        <v>46740.0</v>
      </c>
      <c r="B402" s="100">
        <f t="shared" si="90"/>
        <v>0</v>
      </c>
      <c r="C402" s="75">
        <v>0.1</v>
      </c>
      <c r="D402" s="76">
        <v>0.05</v>
      </c>
      <c r="E402" s="77">
        <v>3.0</v>
      </c>
      <c r="F402" s="78" t="str">
        <f t="shared" si="91"/>
        <v>#DIV/0!</v>
      </c>
      <c r="G402" s="79">
        <f t="shared" si="92"/>
        <v>5</v>
      </c>
      <c r="H402" s="80">
        <f t="shared" si="93"/>
        <v>2.5</v>
      </c>
      <c r="I402" s="81">
        <f t="shared" si="94"/>
        <v>0</v>
      </c>
      <c r="J402" s="82"/>
      <c r="K402" s="83"/>
      <c r="L402" s="84">
        <f t="shared" si="95"/>
        <v>50</v>
      </c>
      <c r="M402" s="65"/>
      <c r="N402" s="65"/>
      <c r="O402" s="65"/>
      <c r="P402" s="65"/>
      <c r="Q402" s="65"/>
      <c r="R402" s="65"/>
      <c r="S402" s="65"/>
      <c r="T402" s="65"/>
      <c r="U402" s="65"/>
      <c r="V402" s="65"/>
      <c r="W402" s="65"/>
      <c r="X402" s="65"/>
      <c r="Y402" s="65"/>
      <c r="Z402" s="66"/>
      <c r="AA402" s="66"/>
      <c r="AB402" s="66"/>
    </row>
    <row r="403" hidden="1" outlineLevel="1">
      <c r="A403" s="71">
        <v>46741.0</v>
      </c>
      <c r="B403" s="100">
        <f t="shared" si="90"/>
        <v>0</v>
      </c>
      <c r="C403" s="75">
        <v>0.1</v>
      </c>
      <c r="D403" s="76">
        <v>0.05</v>
      </c>
      <c r="E403" s="77">
        <v>3.0</v>
      </c>
      <c r="F403" s="78" t="str">
        <f t="shared" si="91"/>
        <v>#DIV/0!</v>
      </c>
      <c r="G403" s="79">
        <f t="shared" si="92"/>
        <v>5</v>
      </c>
      <c r="H403" s="80">
        <f t="shared" si="93"/>
        <v>2.5</v>
      </c>
      <c r="I403" s="81">
        <f t="shared" si="94"/>
        <v>0</v>
      </c>
      <c r="J403" s="82"/>
      <c r="K403" s="83"/>
      <c r="L403" s="84">
        <f t="shared" si="95"/>
        <v>50</v>
      </c>
      <c r="M403" s="65"/>
      <c r="N403" s="65"/>
      <c r="O403" s="65"/>
      <c r="P403" s="65"/>
      <c r="Q403" s="65"/>
      <c r="R403" s="65"/>
      <c r="S403" s="65"/>
      <c r="T403" s="65"/>
      <c r="U403" s="65"/>
      <c r="V403" s="65"/>
      <c r="W403" s="65"/>
      <c r="X403" s="65"/>
      <c r="Y403" s="65"/>
      <c r="Z403" s="66"/>
      <c r="AA403" s="66"/>
      <c r="AB403" s="66"/>
    </row>
    <row r="404" hidden="1" outlineLevel="1">
      <c r="A404" s="71">
        <v>46742.0</v>
      </c>
      <c r="B404" s="100">
        <f t="shared" si="90"/>
        <v>0</v>
      </c>
      <c r="C404" s="75">
        <v>0.1</v>
      </c>
      <c r="D404" s="76">
        <v>0.05</v>
      </c>
      <c r="E404" s="77">
        <v>3.0</v>
      </c>
      <c r="F404" s="78" t="str">
        <f t="shared" si="91"/>
        <v>#DIV/0!</v>
      </c>
      <c r="G404" s="79">
        <f t="shared" si="92"/>
        <v>5</v>
      </c>
      <c r="H404" s="80">
        <f t="shared" si="93"/>
        <v>2.5</v>
      </c>
      <c r="I404" s="81">
        <f t="shared" si="94"/>
        <v>0</v>
      </c>
      <c r="J404" s="82"/>
      <c r="K404" s="83"/>
      <c r="L404" s="84">
        <f t="shared" si="95"/>
        <v>50</v>
      </c>
      <c r="M404" s="65"/>
      <c r="N404" s="65"/>
      <c r="O404" s="65"/>
      <c r="P404" s="65"/>
      <c r="Q404" s="65"/>
      <c r="R404" s="65"/>
      <c r="S404" s="65"/>
      <c r="T404" s="65"/>
      <c r="U404" s="65"/>
      <c r="V404" s="65"/>
      <c r="W404" s="65"/>
      <c r="X404" s="65"/>
      <c r="Y404" s="65"/>
      <c r="Z404" s="66"/>
      <c r="AA404" s="66"/>
      <c r="AB404" s="66"/>
    </row>
    <row r="405" hidden="1" outlineLevel="1">
      <c r="A405" s="71">
        <v>46743.0</v>
      </c>
      <c r="B405" s="100">
        <f t="shared" si="90"/>
        <v>0</v>
      </c>
      <c r="C405" s="75">
        <v>0.1</v>
      </c>
      <c r="D405" s="76">
        <v>0.05</v>
      </c>
      <c r="E405" s="77">
        <v>3.0</v>
      </c>
      <c r="F405" s="78" t="str">
        <f t="shared" si="91"/>
        <v>#DIV/0!</v>
      </c>
      <c r="G405" s="79">
        <f t="shared" si="92"/>
        <v>5</v>
      </c>
      <c r="H405" s="80">
        <f t="shared" si="93"/>
        <v>2.5</v>
      </c>
      <c r="I405" s="81">
        <f t="shared" si="94"/>
        <v>0</v>
      </c>
      <c r="J405" s="82"/>
      <c r="K405" s="83"/>
      <c r="L405" s="84">
        <f t="shared" si="95"/>
        <v>50</v>
      </c>
      <c r="M405" s="65"/>
      <c r="N405" s="65"/>
      <c r="O405" s="65"/>
      <c r="P405" s="65"/>
      <c r="Q405" s="65"/>
      <c r="R405" s="65"/>
      <c r="S405" s="65"/>
      <c r="T405" s="65"/>
      <c r="U405" s="65"/>
      <c r="V405" s="65"/>
      <c r="W405" s="65"/>
      <c r="X405" s="65"/>
      <c r="Y405" s="65"/>
      <c r="Z405" s="66"/>
      <c r="AA405" s="66"/>
      <c r="AB405" s="66"/>
    </row>
    <row r="406" hidden="1" outlineLevel="1">
      <c r="A406" s="71">
        <v>46744.0</v>
      </c>
      <c r="B406" s="100">
        <f t="shared" si="90"/>
        <v>0</v>
      </c>
      <c r="C406" s="75">
        <v>0.1</v>
      </c>
      <c r="D406" s="76">
        <v>0.05</v>
      </c>
      <c r="E406" s="77">
        <v>3.0</v>
      </c>
      <c r="F406" s="78" t="str">
        <f t="shared" si="91"/>
        <v>#DIV/0!</v>
      </c>
      <c r="G406" s="79">
        <f t="shared" si="92"/>
        <v>5</v>
      </c>
      <c r="H406" s="80">
        <f t="shared" si="93"/>
        <v>2.5</v>
      </c>
      <c r="I406" s="81">
        <f t="shared" si="94"/>
        <v>0</v>
      </c>
      <c r="J406" s="82"/>
      <c r="K406" s="83"/>
      <c r="L406" s="84">
        <f t="shared" si="95"/>
        <v>50</v>
      </c>
      <c r="M406" s="65"/>
      <c r="N406" s="65"/>
      <c r="O406" s="65"/>
      <c r="P406" s="65"/>
      <c r="Q406" s="65"/>
      <c r="R406" s="65"/>
      <c r="S406" s="65"/>
      <c r="T406" s="65"/>
      <c r="U406" s="65"/>
      <c r="V406" s="65"/>
      <c r="W406" s="65"/>
      <c r="X406" s="65"/>
      <c r="Y406" s="65"/>
      <c r="Z406" s="66"/>
      <c r="AA406" s="66"/>
      <c r="AB406" s="66"/>
    </row>
    <row r="407" hidden="1" outlineLevel="1">
      <c r="A407" s="71">
        <v>46745.0</v>
      </c>
      <c r="B407" s="100">
        <f t="shared" si="90"/>
        <v>0</v>
      </c>
      <c r="C407" s="75">
        <v>0.1</v>
      </c>
      <c r="D407" s="76">
        <v>0.05</v>
      </c>
      <c r="E407" s="77">
        <v>3.0</v>
      </c>
      <c r="F407" s="78" t="str">
        <f t="shared" si="91"/>
        <v>#DIV/0!</v>
      </c>
      <c r="G407" s="79">
        <f t="shared" si="92"/>
        <v>5</v>
      </c>
      <c r="H407" s="80">
        <f t="shared" si="93"/>
        <v>2.5</v>
      </c>
      <c r="I407" s="81">
        <f t="shared" si="94"/>
        <v>0</v>
      </c>
      <c r="J407" s="82"/>
      <c r="K407" s="83"/>
      <c r="L407" s="84">
        <f t="shared" si="95"/>
        <v>50</v>
      </c>
      <c r="M407" s="65"/>
      <c r="N407" s="65"/>
      <c r="O407" s="65"/>
      <c r="P407" s="65"/>
      <c r="Q407" s="65"/>
      <c r="R407" s="65"/>
      <c r="S407" s="65"/>
      <c r="T407" s="65"/>
      <c r="U407" s="65"/>
      <c r="V407" s="65"/>
      <c r="W407" s="65"/>
      <c r="X407" s="65"/>
      <c r="Y407" s="65"/>
      <c r="Z407" s="66"/>
      <c r="AA407" s="66"/>
      <c r="AB407" s="66"/>
    </row>
    <row r="408" hidden="1" outlineLevel="1">
      <c r="A408" s="71">
        <v>46746.0</v>
      </c>
      <c r="B408" s="100">
        <f t="shared" si="90"/>
        <v>0</v>
      </c>
      <c r="C408" s="75">
        <v>0.1</v>
      </c>
      <c r="D408" s="76">
        <v>0.05</v>
      </c>
      <c r="E408" s="77">
        <v>3.0</v>
      </c>
      <c r="F408" s="78" t="str">
        <f t="shared" si="91"/>
        <v>#DIV/0!</v>
      </c>
      <c r="G408" s="79">
        <f t="shared" si="92"/>
        <v>5</v>
      </c>
      <c r="H408" s="80">
        <f t="shared" si="93"/>
        <v>2.5</v>
      </c>
      <c r="I408" s="81">
        <f t="shared" si="94"/>
        <v>0</v>
      </c>
      <c r="J408" s="82"/>
      <c r="K408" s="83"/>
      <c r="L408" s="84">
        <f t="shared" si="95"/>
        <v>50</v>
      </c>
      <c r="M408" s="65"/>
      <c r="N408" s="65"/>
      <c r="O408" s="65"/>
      <c r="P408" s="65"/>
      <c r="Q408" s="65"/>
      <c r="R408" s="65"/>
      <c r="S408" s="65"/>
      <c r="T408" s="65"/>
      <c r="U408" s="65"/>
      <c r="V408" s="65"/>
      <c r="W408" s="65"/>
      <c r="X408" s="65"/>
      <c r="Y408" s="65"/>
      <c r="Z408" s="66"/>
      <c r="AA408" s="66"/>
      <c r="AB408" s="66"/>
    </row>
    <row r="409" hidden="1" outlineLevel="1">
      <c r="A409" s="71">
        <v>46747.0</v>
      </c>
      <c r="B409" s="100">
        <f t="shared" si="90"/>
        <v>0</v>
      </c>
      <c r="C409" s="75">
        <v>0.1</v>
      </c>
      <c r="D409" s="76">
        <v>0.05</v>
      </c>
      <c r="E409" s="77">
        <v>3.0</v>
      </c>
      <c r="F409" s="78" t="str">
        <f t="shared" si="91"/>
        <v>#DIV/0!</v>
      </c>
      <c r="G409" s="79">
        <f t="shared" si="92"/>
        <v>5</v>
      </c>
      <c r="H409" s="80">
        <f t="shared" si="93"/>
        <v>2.5</v>
      </c>
      <c r="I409" s="81">
        <f t="shared" si="94"/>
        <v>0</v>
      </c>
      <c r="J409" s="82"/>
      <c r="K409" s="83"/>
      <c r="L409" s="84">
        <f t="shared" si="95"/>
        <v>50</v>
      </c>
      <c r="M409" s="65"/>
      <c r="N409" s="65"/>
      <c r="O409" s="65"/>
      <c r="P409" s="65"/>
      <c r="Q409" s="65"/>
      <c r="R409" s="65"/>
      <c r="S409" s="65"/>
      <c r="T409" s="65"/>
      <c r="U409" s="65"/>
      <c r="V409" s="65"/>
      <c r="W409" s="65"/>
      <c r="X409" s="65"/>
      <c r="Y409" s="65"/>
      <c r="Z409" s="66"/>
      <c r="AA409" s="66"/>
      <c r="AB409" s="66"/>
    </row>
    <row r="410" hidden="1" outlineLevel="1">
      <c r="A410" s="71">
        <v>46748.0</v>
      </c>
      <c r="B410" s="100">
        <f t="shared" si="90"/>
        <v>0</v>
      </c>
      <c r="C410" s="75">
        <v>0.1</v>
      </c>
      <c r="D410" s="76">
        <v>0.05</v>
      </c>
      <c r="E410" s="77">
        <v>3.0</v>
      </c>
      <c r="F410" s="78" t="str">
        <f t="shared" si="91"/>
        <v>#DIV/0!</v>
      </c>
      <c r="G410" s="79">
        <f t="shared" si="92"/>
        <v>5</v>
      </c>
      <c r="H410" s="80">
        <f t="shared" si="93"/>
        <v>2.5</v>
      </c>
      <c r="I410" s="81">
        <f t="shared" si="94"/>
        <v>0</v>
      </c>
      <c r="J410" s="82"/>
      <c r="K410" s="83"/>
      <c r="L410" s="84">
        <f t="shared" si="95"/>
        <v>50</v>
      </c>
      <c r="M410" s="65"/>
      <c r="N410" s="65"/>
      <c r="O410" s="65"/>
      <c r="P410" s="65"/>
      <c r="Q410" s="65"/>
      <c r="R410" s="65"/>
      <c r="S410" s="65"/>
      <c r="T410" s="65"/>
      <c r="U410" s="65"/>
      <c r="V410" s="65"/>
      <c r="W410" s="65"/>
      <c r="X410" s="65"/>
      <c r="Y410" s="65"/>
      <c r="Z410" s="66"/>
      <c r="AA410" s="66"/>
      <c r="AB410" s="66"/>
    </row>
    <row r="411" hidden="1" outlineLevel="1">
      <c r="A411" s="71">
        <v>46749.0</v>
      </c>
      <c r="B411" s="100">
        <f t="shared" si="90"/>
        <v>0</v>
      </c>
      <c r="C411" s="75">
        <v>0.1</v>
      </c>
      <c r="D411" s="76">
        <v>0.05</v>
      </c>
      <c r="E411" s="77">
        <v>3.0</v>
      </c>
      <c r="F411" s="78" t="str">
        <f t="shared" si="91"/>
        <v>#DIV/0!</v>
      </c>
      <c r="G411" s="79">
        <f t="shared" si="92"/>
        <v>5</v>
      </c>
      <c r="H411" s="80">
        <f t="shared" si="93"/>
        <v>2.5</v>
      </c>
      <c r="I411" s="81">
        <f t="shared" si="94"/>
        <v>0</v>
      </c>
      <c r="J411" s="82"/>
      <c r="K411" s="83"/>
      <c r="L411" s="84">
        <f t="shared" si="95"/>
        <v>50</v>
      </c>
      <c r="M411" s="65"/>
      <c r="N411" s="65"/>
      <c r="O411" s="65"/>
      <c r="P411" s="65"/>
      <c r="Q411" s="65"/>
      <c r="R411" s="65"/>
      <c r="S411" s="65"/>
      <c r="T411" s="65"/>
      <c r="U411" s="65"/>
      <c r="V411" s="65"/>
      <c r="W411" s="65"/>
      <c r="X411" s="65"/>
      <c r="Y411" s="65"/>
      <c r="Z411" s="66"/>
      <c r="AA411" s="66"/>
      <c r="AB411" s="66"/>
    </row>
    <row r="412" hidden="1" outlineLevel="1">
      <c r="A412" s="71">
        <v>46750.0</v>
      </c>
      <c r="B412" s="100">
        <f t="shared" si="90"/>
        <v>0</v>
      </c>
      <c r="C412" s="75">
        <v>0.1</v>
      </c>
      <c r="D412" s="76">
        <v>0.05</v>
      </c>
      <c r="E412" s="77">
        <v>3.0</v>
      </c>
      <c r="F412" s="78" t="str">
        <f t="shared" si="91"/>
        <v>#DIV/0!</v>
      </c>
      <c r="G412" s="79">
        <f t="shared" si="92"/>
        <v>5</v>
      </c>
      <c r="H412" s="80">
        <f t="shared" si="93"/>
        <v>2.5</v>
      </c>
      <c r="I412" s="81">
        <f t="shared" si="94"/>
        <v>0</v>
      </c>
      <c r="J412" s="82"/>
      <c r="K412" s="83"/>
      <c r="L412" s="84">
        <f t="shared" si="95"/>
        <v>50</v>
      </c>
      <c r="M412" s="65"/>
      <c r="N412" s="65"/>
      <c r="O412" s="65"/>
      <c r="P412" s="65"/>
      <c r="Q412" s="65"/>
      <c r="R412" s="65"/>
      <c r="S412" s="65"/>
      <c r="T412" s="65"/>
      <c r="U412" s="65"/>
      <c r="V412" s="65"/>
      <c r="W412" s="65"/>
      <c r="X412" s="65"/>
      <c r="Y412" s="65"/>
      <c r="Z412" s="66"/>
      <c r="AA412" s="66"/>
      <c r="AB412" s="66"/>
    </row>
    <row r="413" hidden="1" outlineLevel="1">
      <c r="A413" s="71">
        <v>46751.0</v>
      </c>
      <c r="B413" s="100">
        <f t="shared" si="90"/>
        <v>0</v>
      </c>
      <c r="C413" s="75">
        <v>0.1</v>
      </c>
      <c r="D413" s="76">
        <v>0.05</v>
      </c>
      <c r="E413" s="77">
        <v>3.0</v>
      </c>
      <c r="F413" s="78" t="str">
        <f t="shared" si="91"/>
        <v>#DIV/0!</v>
      </c>
      <c r="G413" s="79">
        <f t="shared" si="92"/>
        <v>5</v>
      </c>
      <c r="H413" s="80">
        <f t="shared" si="93"/>
        <v>2.5</v>
      </c>
      <c r="I413" s="81">
        <f t="shared" si="94"/>
        <v>0</v>
      </c>
      <c r="J413" s="82"/>
      <c r="K413" s="83"/>
      <c r="L413" s="84">
        <f t="shared" si="95"/>
        <v>50</v>
      </c>
      <c r="M413" s="65"/>
      <c r="N413" s="65"/>
      <c r="O413" s="65"/>
      <c r="P413" s="65"/>
      <c r="Q413" s="65"/>
      <c r="R413" s="65"/>
      <c r="S413" s="65"/>
      <c r="T413" s="65"/>
      <c r="U413" s="65"/>
      <c r="V413" s="65"/>
      <c r="W413" s="65"/>
      <c r="X413" s="65"/>
      <c r="Y413" s="65"/>
      <c r="Z413" s="66"/>
      <c r="AA413" s="66"/>
      <c r="AB413" s="66"/>
    </row>
    <row r="414" hidden="1" outlineLevel="1">
      <c r="A414" s="71">
        <v>46752.0</v>
      </c>
      <c r="B414" s="100">
        <f t="shared" si="90"/>
        <v>0</v>
      </c>
      <c r="C414" s="75">
        <v>0.1</v>
      </c>
      <c r="D414" s="76">
        <v>0.05</v>
      </c>
      <c r="E414" s="77">
        <v>3.0</v>
      </c>
      <c r="F414" s="78" t="str">
        <f t="shared" si="91"/>
        <v>#DIV/0!</v>
      </c>
      <c r="G414" s="79">
        <f t="shared" si="92"/>
        <v>5</v>
      </c>
      <c r="H414" s="80">
        <f t="shared" si="93"/>
        <v>2.5</v>
      </c>
      <c r="I414" s="81">
        <f t="shared" si="94"/>
        <v>0</v>
      </c>
      <c r="J414" s="82"/>
      <c r="K414" s="83"/>
      <c r="L414" s="84">
        <f t="shared" si="95"/>
        <v>50</v>
      </c>
      <c r="M414" s="65"/>
      <c r="N414" s="65"/>
      <c r="O414" s="65"/>
      <c r="P414" s="65"/>
      <c r="Q414" s="65"/>
      <c r="R414" s="65"/>
      <c r="S414" s="65"/>
      <c r="T414" s="65"/>
      <c r="U414" s="65"/>
      <c r="V414" s="65"/>
      <c r="W414" s="65"/>
      <c r="X414" s="65"/>
      <c r="Y414" s="65"/>
      <c r="Z414" s="66"/>
      <c r="AA414" s="66"/>
      <c r="AB414" s="66"/>
    </row>
    <row r="415" hidden="1" outlineLevel="1">
      <c r="A415" s="85" t="s">
        <v>41</v>
      </c>
      <c r="C415" s="86">
        <f>SUM(C384:C414)</f>
        <v>3.1</v>
      </c>
      <c r="D415" s="87"/>
      <c r="E415" s="87"/>
      <c r="F415" s="87"/>
      <c r="G415" s="87"/>
      <c r="H415" s="87"/>
      <c r="I415" s="87" t="str">
        <f t="shared" ref="I415:K415" si="96">SUM(I384:I414)</f>
        <v>#DIV/0!</v>
      </c>
      <c r="J415" s="89">
        <f t="shared" si="96"/>
        <v>0</v>
      </c>
      <c r="K415" s="87">
        <f t="shared" si="96"/>
        <v>0</v>
      </c>
      <c r="L415" s="89">
        <f>L414</f>
        <v>50</v>
      </c>
      <c r="M415" s="65"/>
      <c r="N415" s="65"/>
      <c r="O415" s="65"/>
      <c r="P415" s="65"/>
      <c r="Q415" s="65"/>
      <c r="R415" s="65"/>
      <c r="S415" s="65"/>
      <c r="T415" s="65"/>
      <c r="U415" s="65"/>
      <c r="V415" s="65"/>
      <c r="W415" s="65"/>
      <c r="X415" s="65"/>
      <c r="Y415" s="65"/>
      <c r="Z415" s="66"/>
      <c r="AA415" s="66"/>
      <c r="AB415" s="66"/>
    </row>
    <row r="416">
      <c r="A416" s="95"/>
      <c r="B416" s="92"/>
      <c r="C416" s="92"/>
      <c r="D416" s="92"/>
      <c r="E416" s="92"/>
      <c r="F416" s="92"/>
      <c r="G416" s="92"/>
      <c r="H416" s="92"/>
      <c r="I416" s="92"/>
      <c r="J416" s="92"/>
      <c r="K416" s="94">
        <f>SUM(K384:K414)</f>
        <v>0</v>
      </c>
      <c r="L416" s="92"/>
      <c r="M416" s="65"/>
      <c r="N416" s="65"/>
      <c r="O416" s="65"/>
      <c r="P416" s="65"/>
      <c r="Q416" s="65"/>
      <c r="R416" s="65"/>
      <c r="S416" s="65"/>
      <c r="T416" s="65"/>
      <c r="U416" s="65"/>
      <c r="V416" s="65"/>
      <c r="W416" s="65"/>
      <c r="X416" s="65"/>
      <c r="Y416" s="65"/>
      <c r="Z416" s="66"/>
      <c r="AA416" s="66"/>
      <c r="AB416" s="66"/>
    </row>
    <row r="417">
      <c r="A417" s="95"/>
      <c r="B417" s="95"/>
      <c r="C417" s="95"/>
      <c r="D417" s="95"/>
      <c r="E417" s="95"/>
      <c r="F417" s="95"/>
      <c r="G417" s="95"/>
      <c r="H417" s="95"/>
      <c r="I417" s="95"/>
      <c r="J417" s="95"/>
      <c r="K417" s="95"/>
      <c r="L417" s="95"/>
      <c r="M417" s="95"/>
      <c r="N417" s="95"/>
      <c r="O417" s="65"/>
      <c r="P417" s="65"/>
      <c r="Q417" s="65"/>
      <c r="R417" s="65"/>
      <c r="S417" s="65"/>
      <c r="T417" s="65"/>
      <c r="U417" s="65"/>
      <c r="V417" s="65"/>
      <c r="W417" s="65"/>
      <c r="X417" s="65"/>
      <c r="Y417" s="65"/>
      <c r="Z417" s="66"/>
      <c r="AA417" s="66"/>
      <c r="AB417" s="66"/>
    </row>
    <row r="418">
      <c r="A418" s="95"/>
      <c r="B418" s="95"/>
      <c r="C418" s="95"/>
      <c r="D418" s="95"/>
      <c r="E418" s="95"/>
      <c r="F418" s="95"/>
      <c r="G418" s="95"/>
      <c r="H418" s="95"/>
      <c r="I418" s="95"/>
      <c r="J418" s="95"/>
      <c r="K418" s="95"/>
      <c r="L418" s="95"/>
      <c r="M418" s="95"/>
      <c r="N418" s="95"/>
      <c r="O418" s="65"/>
      <c r="P418" s="65"/>
      <c r="Q418" s="65"/>
      <c r="R418" s="65"/>
      <c r="S418" s="65"/>
      <c r="T418" s="65"/>
      <c r="U418" s="65"/>
      <c r="V418" s="65"/>
      <c r="W418" s="65"/>
      <c r="X418" s="65"/>
      <c r="Y418" s="65"/>
      <c r="Z418" s="66"/>
      <c r="AA418" s="66"/>
      <c r="AB418" s="66"/>
    </row>
    <row r="419">
      <c r="A419" s="95"/>
      <c r="B419" s="95"/>
      <c r="C419" s="95"/>
      <c r="D419" s="95"/>
      <c r="E419" s="95"/>
      <c r="F419" s="95"/>
      <c r="G419" s="95"/>
      <c r="H419" s="95"/>
      <c r="I419" s="95"/>
      <c r="J419" s="95"/>
      <c r="K419" s="95"/>
      <c r="L419" s="95"/>
      <c r="M419" s="95"/>
      <c r="N419" s="95"/>
      <c r="O419" s="65"/>
      <c r="P419" s="65"/>
      <c r="Q419" s="65"/>
      <c r="R419" s="65"/>
      <c r="S419" s="65"/>
      <c r="T419" s="65"/>
      <c r="U419" s="65"/>
      <c r="V419" s="65"/>
      <c r="W419" s="65"/>
      <c r="X419" s="65"/>
      <c r="Y419" s="65"/>
      <c r="Z419" s="66"/>
      <c r="AA419" s="66"/>
      <c r="AB419" s="66"/>
    </row>
    <row r="420">
      <c r="A420" s="95"/>
      <c r="B420" s="95"/>
      <c r="C420" s="95"/>
      <c r="D420" s="95"/>
      <c r="E420" s="95"/>
      <c r="F420" s="95"/>
      <c r="G420" s="95"/>
      <c r="H420" s="95"/>
      <c r="I420" s="95"/>
      <c r="J420" s="95"/>
      <c r="K420" s="95"/>
      <c r="L420" s="95"/>
      <c r="M420" s="95"/>
      <c r="N420" s="95"/>
      <c r="O420" s="65"/>
      <c r="P420" s="65"/>
      <c r="Q420" s="65"/>
      <c r="R420" s="65"/>
      <c r="S420" s="65"/>
      <c r="T420" s="65"/>
      <c r="U420" s="65"/>
      <c r="V420" s="65"/>
      <c r="W420" s="65"/>
      <c r="X420" s="65"/>
      <c r="Y420" s="65"/>
      <c r="Z420" s="66"/>
      <c r="AA420" s="66"/>
      <c r="AB420" s="66"/>
    </row>
    <row r="421">
      <c r="A421" s="95"/>
      <c r="B421" s="95"/>
      <c r="C421" s="95"/>
      <c r="D421" s="95"/>
      <c r="E421" s="95"/>
      <c r="F421" s="95"/>
      <c r="G421" s="95"/>
      <c r="H421" s="95"/>
      <c r="I421" s="95"/>
      <c r="J421" s="95"/>
      <c r="K421" s="95"/>
      <c r="L421" s="95"/>
      <c r="M421" s="95"/>
      <c r="N421" s="95"/>
      <c r="O421" s="65"/>
      <c r="P421" s="65"/>
      <c r="Q421" s="65"/>
      <c r="R421" s="65"/>
      <c r="S421" s="65"/>
      <c r="T421" s="65"/>
      <c r="U421" s="65"/>
      <c r="V421" s="65"/>
      <c r="W421" s="65"/>
      <c r="X421" s="65"/>
      <c r="Y421" s="65"/>
      <c r="Z421" s="66"/>
      <c r="AA421" s="66"/>
      <c r="AB421" s="66"/>
    </row>
  </sheetData>
  <mergeCells count="30">
    <mergeCell ref="B1:C1"/>
    <mergeCell ref="D1:D2"/>
    <mergeCell ref="E1:E2"/>
    <mergeCell ref="F1:G2"/>
    <mergeCell ref="B2:C2"/>
    <mergeCell ref="A3:L3"/>
    <mergeCell ref="A4:L4"/>
    <mergeCell ref="A37:B37"/>
    <mergeCell ref="A39:L39"/>
    <mergeCell ref="A69:B69"/>
    <mergeCell ref="A71:L71"/>
    <mergeCell ref="A104:B104"/>
    <mergeCell ref="A106:L106"/>
    <mergeCell ref="A140:L140"/>
    <mergeCell ref="A138:B138"/>
    <mergeCell ref="A173:B173"/>
    <mergeCell ref="A175:L175"/>
    <mergeCell ref="A207:B207"/>
    <mergeCell ref="A209:L209"/>
    <mergeCell ref="A242:B242"/>
    <mergeCell ref="A244:L244"/>
    <mergeCell ref="A380:B380"/>
    <mergeCell ref="A415:B415"/>
    <mergeCell ref="A277:B277"/>
    <mergeCell ref="A279:L279"/>
    <mergeCell ref="A311:B311"/>
    <mergeCell ref="A313:L313"/>
    <mergeCell ref="A346:B346"/>
    <mergeCell ref="A348:L348"/>
    <mergeCell ref="A382:L382"/>
  </mergeCells>
  <conditionalFormatting sqref="C6:I36 C41:I68 C73:I103 C108:I137 C142:I172 C177:I206 C211:I241 C246:I276 C281:I310 C315:I345 C350:I379 C384:I414">
    <cfRule type="expression" dxfId="6" priority="1">
      <formula>$I6=0</formula>
    </cfRule>
  </conditionalFormatting>
  <conditionalFormatting sqref="C6:I36 C41:I68 C73:I103 C108:I137 C142:I172 C177:I206 C211:I241 C246:I276 C281:I310 C315:I345 C350:I379 C384:I414">
    <cfRule type="expression" dxfId="7" priority="2">
      <formula>$I6&gt;10</formula>
    </cfRule>
  </conditionalFormatting>
  <conditionalFormatting sqref="C6:I36 C41:I68 C73:I103 C108:I137 C142:I172 C177:I206 C211:I241 C246:I276 C281:I310 C315:I345 C350:I379 C384:I414">
    <cfRule type="expression" dxfId="4" priority="3">
      <formula>$I6=10</formula>
    </cfRule>
  </conditionalFormatting>
  <conditionalFormatting sqref="C6:I36 C41:I68 C73:I103 C108:I137 C142:I172 C177:I206 C211:I241 C246:I276 C281:I310 C315:I345 C350:I379 C384:I414">
    <cfRule type="expression" dxfId="8" priority="4">
      <formula>$I6&gt;=0</formula>
    </cfRule>
  </conditionalFormatting>
  <conditionalFormatting sqref="C6:I36 C41:I68 C73:I103 C108:I137 C142:I172 C177:I206 C211:I241 C246:I276 C281:I310 C315:I345 C350:I379 C384:I414">
    <cfRule type="expression" dxfId="9" priority="5">
      <formula>$I6&lt;-10</formula>
    </cfRule>
  </conditionalFormatting>
  <conditionalFormatting sqref="C6:I36 C41:I68 C73:I103 C108:I137 C142:I172 C177:I206 C211:I241 C246:I276 C281:I310 C315:I345 C350:I379 C384:I414">
    <cfRule type="expression" dxfId="10" priority="6">
      <formula>$I6=-10</formula>
    </cfRule>
  </conditionalFormatting>
  <conditionalFormatting sqref="C6:I36 C41:I68 C73:I103 C108:I137 C142:I172 C177:I206 C211:I241 C246:I276 C281:I310 C315:I345 C350:I379 C384:I414">
    <cfRule type="expression" dxfId="5" priority="7">
      <formula>$I6&gt;=-1</formula>
    </cfRule>
  </conditionalFormatting>
  <conditionalFormatting sqref="C6:I36 C41:I68 C73:I103 C108:I137 C142:I172 C177:I206 C211:I241 C246:I276 C281:I310 C315:I345 C350:I379 C384:I414">
    <cfRule type="expression" dxfId="5" priority="8">
      <formula>$I6&lt;-1</formula>
    </cfRule>
  </conditionalFormatting>
  <conditionalFormatting sqref="C6:I36 C41:I68 C73:I103 C108:I137 C142:I172 C177:I206 C211:I241 C246:I276 C281:I310 C315:I345 C350:I379 C384:I414">
    <cfRule type="expression" dxfId="5" priority="9">
      <formula>$I6&lt;-1</formula>
    </cfRule>
  </conditionalFormatting>
  <drawing r:id="rId1"/>
</worksheet>
</file>