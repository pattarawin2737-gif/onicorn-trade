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2569" sheetId="1" r:id="rId5"/>
    <sheet state="visible" name="PLAN 2570" sheetId="2" r:id="rId6"/>
  </sheets>
  <definedNames/>
  <calcPr/>
</workbook>
</file>

<file path=xl/sharedStrings.xml><?xml version="1.0" encoding="utf-8"?>
<sst xmlns="http://schemas.openxmlformats.org/spreadsheetml/2006/main" count="346" uniqueCount="32">
  <si>
    <t>เงินทุนตั้งต้น</t>
  </si>
  <si>
    <t>กำไรรวม
ทั้งหมด</t>
  </si>
  <si>
    <t>ถอนกำไร
รวม</t>
  </si>
  <si>
    <t>ตั้งเป้าเก็บกำไร</t>
  </si>
  <si>
    <t>PLAN 2569</t>
  </si>
  <si>
    <t>Month 1</t>
  </si>
  <si>
    <t>Day</t>
  </si>
  <si>
    <t>Lot Size</t>
  </si>
  <si>
    <t>Target (%)</t>
  </si>
  <si>
    <t>รับความเสี่ยง</t>
  </si>
  <si>
    <t>แพ้ติดกัน(ไม้)</t>
  </si>
  <si>
    <t>แพ้สูงสุด(จุด)</t>
  </si>
  <si>
    <t>TP / วัน</t>
  </si>
  <si>
    <t>SL / วัน</t>
  </si>
  <si>
    <t>Target obtained (%)</t>
  </si>
  <si>
    <t>กำไร/ขาดทุน</t>
  </si>
  <si>
    <t>ถอน</t>
  </si>
  <si>
    <t>Balance</t>
  </si>
  <si>
    <t>Monthend</t>
  </si>
  <si>
    <r>
      <rPr>
        <rFont val="Verdana"/>
        <color theme="1"/>
        <sz val="12.0"/>
      </rPr>
      <t>Total Month</t>
    </r>
    <r>
      <rPr>
        <rFont val="Verdana"/>
        <color theme="1"/>
        <sz val="15.0"/>
      </rPr>
      <t xml:space="preserve"> :</t>
    </r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</si>
  <si>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</si>
  <si>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</si>
  <si>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</si>
  <si>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</si>
  <si>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</si>
  <si>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</si>
  <si>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</si>
  <si>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</si>
  <si>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</si>
  <si>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</si>
  <si>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</si>
  <si>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PLAN 2570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</si>
</sst>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[$ USD]"/>
    <numFmt numFmtId="165" formatCode="#,##0.00[$ %]"/>
    <numFmt numFmtId="166" formatCode="#,##0.00[$ USD]"/>
    <numFmt numFmtId="167" formatCode="dd&quot;/&quot;mm&quot;/&quot;yy"/>
    <numFmt numFmtId="168" formatCode="-#,##0.00"/>
  </numFmts>
  <fonts count="9">
    <font>
      <sz val="10.0"/>
      <color rgb="FF000000"/>
      <name val="Verdana"/>
      <scheme val="minor"/>
    </font>
    <font>
      <sz val="14.0"/>
      <color rgb="FFFFFFFF"/>
      <name val="Verdana"/>
    </font>
    <font>
      <sz val="14.0"/>
      <color rgb="FF00FF00"/>
      <name val="Verdana"/>
    </font>
    <font/>
    <font>
      <sz val="14.0"/>
      <color theme="1"/>
      <name val="Verdana"/>
    </font>
    <font>
      <color theme="1"/>
      <name val="Verdana"/>
    </font>
    <font>
      <sz val="14.0"/>
      <color rgb="FFEA9999"/>
      <name val="Verdana"/>
    </font>
    <font>
      <sz val="14.0"/>
      <color theme="1"/>
      <name val="Arial"/>
    </font>
    <font>
      <sz val="12.0"/>
      <color theme="1"/>
      <name val="Verdana"/>
    </font>
  </fonts>
  <fills count="10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</fills>
  <borders count="7">
    <border/>
    <border>
      <right style="thin">
        <color rgb="FF999999"/>
      </right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164" xfId="0" applyAlignment="1" applyFill="1" applyFont="1" applyNumberFormat="1">
      <alignment horizontal="right" vertical="center"/>
    </xf>
    <xf borderId="0" fillId="4" fontId="2" numFmtId="165" xfId="0" applyAlignment="1" applyFill="1" applyFont="1" applyNumberFormat="1">
      <alignment horizontal="center" vertical="center"/>
    </xf>
    <xf borderId="0" fillId="4" fontId="2" numFmtId="166" xfId="0" applyAlignment="1" applyFont="1" applyNumberFormat="1">
      <alignment horizontal="center" vertical="center"/>
    </xf>
    <xf borderId="1" fillId="0" fontId="3" numFmtId="0" xfId="0" applyBorder="1" applyFont="1"/>
    <xf borderId="2" fillId="5" fontId="1" numFmtId="0" xfId="0" applyAlignment="1" applyBorder="1" applyFill="1" applyFont="1">
      <alignment horizontal="center" vertical="center"/>
    </xf>
    <xf borderId="2" fillId="6" fontId="1" numFmtId="164" xfId="0" applyAlignment="1" applyBorder="1" applyFill="1" applyFont="1" applyNumberFormat="1">
      <alignment horizontal="center" vertical="center"/>
    </xf>
    <xf borderId="3" fillId="7" fontId="4" numFmtId="0" xfId="0" applyAlignment="1" applyBorder="1" applyFill="1" applyFont="1">
      <alignment horizontal="center" vertical="center"/>
    </xf>
    <xf borderId="3" fillId="7" fontId="5" numFmtId="0" xfId="0" applyBorder="1" applyFont="1"/>
    <xf borderId="0" fillId="8" fontId="4" numFmtId="164" xfId="0" applyAlignment="1" applyFill="1" applyFont="1" applyNumberFormat="1">
      <alignment horizontal="right" vertical="center"/>
    </xf>
    <xf borderId="4" fillId="0" fontId="3" numFmtId="0" xfId="0" applyBorder="1" applyFont="1"/>
    <xf borderId="2" fillId="7" fontId="4" numFmtId="0" xfId="0" applyAlignment="1" applyBorder="1" applyFont="1">
      <alignment horizontal="center" vertical="center"/>
    </xf>
    <xf borderId="5" fillId="7" fontId="4" numFmtId="0" xfId="0" applyAlignment="1" applyBorder="1" applyFont="1">
      <alignment horizontal="center" vertical="center"/>
    </xf>
    <xf borderId="0" fillId="2" fontId="1" numFmtId="167" xfId="0" applyAlignment="1" applyFont="1" applyNumberFormat="1">
      <alignment horizontal="center" vertical="center"/>
    </xf>
    <xf borderId="0" fillId="2" fontId="6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1" numFmtId="4" xfId="0" applyAlignment="1" applyFont="1" applyNumberFormat="1">
      <alignment horizontal="center" vertical="center"/>
    </xf>
    <xf borderId="0" fillId="3" fontId="1" numFmtId="9" xfId="0" applyAlignment="1" applyFont="1" applyNumberFormat="1">
      <alignment horizontal="center" vertical="center"/>
    </xf>
    <xf borderId="0" fillId="3" fontId="6" numFmtId="9" xfId="0" applyAlignment="1" applyFont="1" applyNumberFormat="1">
      <alignment horizontal="center" vertical="center"/>
    </xf>
    <xf borderId="0" fillId="3" fontId="6" numFmtId="3" xfId="0" applyAlignment="1" applyFont="1" applyNumberFormat="1">
      <alignment horizontal="center" vertical="center"/>
    </xf>
    <xf borderId="0" fillId="2" fontId="6" numFmtId="3" xfId="0" applyAlignment="1" applyFont="1" applyNumberFormat="1">
      <alignment horizontal="center" vertical="center"/>
    </xf>
    <xf borderId="0" fillId="2" fontId="2" numFmtId="4" xfId="0" applyAlignment="1" applyFont="1" applyNumberFormat="1">
      <alignment horizontal="center" vertical="center"/>
    </xf>
    <xf borderId="0" fillId="2" fontId="6" numFmtId="168" xfId="0" applyAlignment="1" applyFont="1" applyNumberFormat="1">
      <alignment horizontal="center" vertical="center"/>
    </xf>
    <xf borderId="0" fillId="2" fontId="1" numFmtId="165" xfId="0" applyAlignment="1" applyFont="1" applyNumberFormat="1">
      <alignment horizontal="center" vertical="center"/>
    </xf>
    <xf borderId="0" fillId="7" fontId="4" numFmtId="4" xfId="0" applyAlignment="1" applyFont="1" applyNumberFormat="1">
      <alignment horizontal="center" vertical="center"/>
    </xf>
    <xf borderId="0" fillId="7" fontId="4" numFmtId="0" xfId="0" applyAlignment="1" applyFont="1">
      <alignment horizontal="center" vertical="center"/>
    </xf>
    <xf borderId="0" fillId="3" fontId="1" numFmtId="4" xfId="0" applyAlignment="1" applyFont="1" applyNumberFormat="1">
      <alignment horizontal="center" vertical="center"/>
    </xf>
    <xf borderId="0" fillId="9" fontId="7" numFmtId="167" xfId="0" applyAlignment="1" applyFill="1" applyFont="1" applyNumberFormat="1">
      <alignment horizontal="center"/>
    </xf>
    <xf borderId="0" fillId="9" fontId="4" numFmtId="9" xfId="0" applyAlignment="1" applyFont="1" applyNumberFormat="1">
      <alignment horizontal="center" vertical="center"/>
    </xf>
    <xf borderId="0" fillId="9" fontId="4" numFmtId="0" xfId="0" applyAlignment="1" applyFont="1">
      <alignment horizontal="center" vertical="center"/>
    </xf>
    <xf borderId="0" fillId="9" fontId="4" numFmtId="165" xfId="0" applyAlignment="1" applyFont="1" applyNumberFormat="1">
      <alignment horizontal="center" vertical="center"/>
    </xf>
    <xf borderId="0" fillId="9" fontId="4" numFmtId="4" xfId="0" applyAlignment="1" applyFont="1" applyNumberFormat="1">
      <alignment horizontal="center" vertical="center"/>
    </xf>
    <xf borderId="4" fillId="7" fontId="7" numFmtId="167" xfId="0" applyAlignment="1" applyBorder="1" applyFont="1" applyNumberFormat="1">
      <alignment horizontal="center" vertical="center"/>
    </xf>
    <xf borderId="4" fillId="7" fontId="7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vertical="center"/>
    </xf>
    <xf borderId="4" fillId="7" fontId="8" numFmtId="0" xfId="0" applyAlignment="1" applyBorder="1" applyFont="1">
      <alignment horizontal="center" vertical="center"/>
    </xf>
    <xf borderId="6" fillId="7" fontId="4" numFmtId="0" xfId="0" applyAlignment="1" applyBorder="1" applyFont="1">
      <alignment horizontal="center" vertical="center"/>
    </xf>
    <xf borderId="4" fillId="7" fontId="4" numFmtId="167" xfId="0" applyAlignment="1" applyBorder="1" applyFont="1" applyNumberFormat="1">
      <alignment horizontal="center" vertical="center"/>
    </xf>
    <xf borderId="0" fillId="4" fontId="2" numFmtId="164" xfId="0" applyAlignment="1" applyFont="1" applyNumberFormat="1">
      <alignment horizontal="center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990000"/>
          <bgColor rgb="FF990000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 outlineLevelRow="1"/>
  <cols>
    <col customWidth="1" min="1" max="1" width="15.22"/>
    <col customWidth="1" min="2" max="2" width="9.67"/>
    <col customWidth="1" min="3" max="3" width="12.89"/>
    <col customWidth="1" min="4" max="4" width="11.56"/>
    <col customWidth="1" min="5" max="5" width="12.33"/>
    <col customWidth="1" min="6" max="6" width="13.0"/>
    <col customWidth="1" min="7" max="7" width="12.56"/>
    <col customWidth="1" min="8" max="8" width="10.89"/>
    <col customWidth="1" min="9" max="9" width="22.89"/>
    <col customWidth="1" min="10" max="10" width="17.22"/>
    <col customWidth="1" min="11" max="11" width="13.89"/>
    <col customWidth="1" min="12" max="12" width="17.56"/>
  </cols>
  <sheetData>
    <row r="1" ht="15.75" customHeight="1">
      <c r="A1" s="1" t="s">
        <v>0</v>
      </c>
      <c r="B1" s="2">
        <v>50.0</v>
      </c>
      <c r="D1" s="1" t="s">
        <v>1</v>
      </c>
      <c r="E1" s="3">
        <f>(F1/B1)*100</f>
        <v>-100</v>
      </c>
      <c r="F1" s="4">
        <f>L415-B1</f>
        <v>-50</v>
      </c>
      <c r="G1" s="5"/>
      <c r="H1" s="6" t="s">
        <v>2</v>
      </c>
      <c r="I1" s="7">
        <f>K105</f>
        <v>50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9"/>
      <c r="AA1" s="9"/>
      <c r="AB1" s="9"/>
    </row>
    <row r="2" ht="15.75" customHeight="1">
      <c r="A2" s="1" t="s">
        <v>3</v>
      </c>
      <c r="B2" s="10">
        <v>500.0</v>
      </c>
      <c r="G2" s="5"/>
      <c r="H2" s="11"/>
      <c r="I2" s="11"/>
      <c r="J2" s="12"/>
      <c r="K2" s="12"/>
      <c r="L2" s="12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  <c r="AA2" s="9"/>
      <c r="AB2" s="9"/>
    </row>
    <row r="3" ht="15.75" customHeight="1">
      <c r="A3" s="1" t="s">
        <v>4</v>
      </c>
      <c r="M3" s="13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9"/>
      <c r="AB3" s="9"/>
    </row>
    <row r="4" ht="15.75" customHeight="1" collapsed="1">
      <c r="A4" s="1" t="s">
        <v>5</v>
      </c>
      <c r="M4" s="13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9"/>
      <c r="AB4" s="9"/>
    </row>
    <row r="5" ht="15.75" hidden="1" customHeight="1" outlineLevel="1">
      <c r="A5" s="14" t="s">
        <v>6</v>
      </c>
      <c r="B5" s="1" t="s">
        <v>7</v>
      </c>
      <c r="C5" s="1" t="s">
        <v>8</v>
      </c>
      <c r="D5" s="15" t="s">
        <v>9</v>
      </c>
      <c r="E5" s="15" t="s">
        <v>10</v>
      </c>
      <c r="F5" s="15" t="s">
        <v>11</v>
      </c>
      <c r="G5" s="16" t="s">
        <v>12</v>
      </c>
      <c r="H5" s="15" t="s">
        <v>13</v>
      </c>
      <c r="I5" s="1" t="s">
        <v>14</v>
      </c>
      <c r="J5" s="17" t="s">
        <v>15</v>
      </c>
      <c r="K5" s="1" t="s">
        <v>16</v>
      </c>
      <c r="L5" s="1" t="s">
        <v>17</v>
      </c>
      <c r="M5" s="13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  <c r="AA5" s="9"/>
      <c r="AB5" s="9"/>
    </row>
    <row r="6" ht="15.75" hidden="1" customHeight="1" outlineLevel="1">
      <c r="A6" s="14">
        <v>46023.0</v>
      </c>
      <c r="B6" s="17">
        <v>0.1</v>
      </c>
      <c r="C6" s="18">
        <v>0.1</v>
      </c>
      <c r="D6" s="19">
        <v>0.05</v>
      </c>
      <c r="E6" s="20">
        <v>2.0</v>
      </c>
      <c r="F6" s="21">
        <f t="shared" ref="F6:F36" si="1">H6/B6</f>
        <v>25</v>
      </c>
      <c r="G6" s="22">
        <f>B1*C6</f>
        <v>5</v>
      </c>
      <c r="H6" s="23">
        <f>B1*D6</f>
        <v>2.5</v>
      </c>
      <c r="I6" s="24">
        <f>(J6/B1)*100</f>
        <v>0</v>
      </c>
      <c r="J6" s="25"/>
      <c r="K6" s="26"/>
      <c r="L6" s="27">
        <f>(B1+J6)-K6</f>
        <v>50</v>
      </c>
      <c r="M6" s="13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  <c r="AA6" s="9"/>
      <c r="AB6" s="9"/>
    </row>
    <row r="7" ht="15.75" hidden="1" customHeight="1" outlineLevel="1">
      <c r="A7" s="14">
        <v>46024.0</v>
      </c>
      <c r="B7" s="17">
        <v>0.1</v>
      </c>
      <c r="C7" s="18"/>
      <c r="D7" s="19"/>
      <c r="E7" s="20">
        <v>2.0</v>
      </c>
      <c r="F7" s="21">
        <f t="shared" si="1"/>
        <v>0</v>
      </c>
      <c r="G7" s="22">
        <f t="shared" ref="G7:G36" si="2">L6*C7</f>
        <v>0</v>
      </c>
      <c r="H7" s="23">
        <f t="shared" ref="H7:H36" si="3">L6*D7</f>
        <v>0</v>
      </c>
      <c r="I7" s="24">
        <f t="shared" ref="I7:I36" si="4">(J7/L6)*100</f>
        <v>0</v>
      </c>
      <c r="J7" s="25"/>
      <c r="K7" s="26"/>
      <c r="L7" s="27">
        <f t="shared" ref="L7:L36" si="5">(L6+J7)-K7</f>
        <v>50</v>
      </c>
      <c r="M7" s="13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  <c r="AA7" s="9"/>
      <c r="AB7" s="9"/>
    </row>
    <row r="8" ht="15.75" hidden="1" customHeight="1" outlineLevel="1">
      <c r="A8" s="14">
        <v>46025.0</v>
      </c>
      <c r="B8" s="17">
        <v>0.1</v>
      </c>
      <c r="C8" s="18"/>
      <c r="D8" s="19"/>
      <c r="E8" s="20">
        <v>2.0</v>
      </c>
      <c r="F8" s="21">
        <f t="shared" si="1"/>
        <v>0</v>
      </c>
      <c r="G8" s="22">
        <f t="shared" si="2"/>
        <v>0</v>
      </c>
      <c r="H8" s="23">
        <f t="shared" si="3"/>
        <v>0</v>
      </c>
      <c r="I8" s="24">
        <f t="shared" si="4"/>
        <v>0</v>
      </c>
      <c r="J8" s="25"/>
      <c r="K8" s="26"/>
      <c r="L8" s="27">
        <f t="shared" si="5"/>
        <v>50</v>
      </c>
      <c r="M8" s="13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  <c r="AA8" s="9"/>
      <c r="AB8" s="9"/>
    </row>
    <row r="9" ht="15.75" hidden="1" customHeight="1" outlineLevel="1">
      <c r="A9" s="14">
        <v>46026.0</v>
      </c>
      <c r="B9" s="17">
        <v>0.1</v>
      </c>
      <c r="C9" s="18"/>
      <c r="D9" s="19"/>
      <c r="E9" s="20">
        <v>2.0</v>
      </c>
      <c r="F9" s="21">
        <f t="shared" si="1"/>
        <v>0</v>
      </c>
      <c r="G9" s="22">
        <f t="shared" si="2"/>
        <v>0</v>
      </c>
      <c r="H9" s="23">
        <f t="shared" si="3"/>
        <v>0</v>
      </c>
      <c r="I9" s="24">
        <f t="shared" si="4"/>
        <v>0</v>
      </c>
      <c r="J9" s="25"/>
      <c r="K9" s="26"/>
      <c r="L9" s="27">
        <f t="shared" si="5"/>
        <v>50</v>
      </c>
      <c r="M9" s="13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9"/>
      <c r="AB9" s="9"/>
    </row>
    <row r="10" ht="15.75" hidden="1" customHeight="1" outlineLevel="1">
      <c r="A10" s="14">
        <v>46027.0</v>
      </c>
      <c r="B10" s="17">
        <v>0.1</v>
      </c>
      <c r="C10" s="18"/>
      <c r="D10" s="19"/>
      <c r="E10" s="20">
        <v>2.0</v>
      </c>
      <c r="F10" s="21">
        <f t="shared" si="1"/>
        <v>0</v>
      </c>
      <c r="G10" s="22">
        <f t="shared" si="2"/>
        <v>0</v>
      </c>
      <c r="H10" s="23">
        <f t="shared" si="3"/>
        <v>0</v>
      </c>
      <c r="I10" s="24">
        <f t="shared" si="4"/>
        <v>0</v>
      </c>
      <c r="J10" s="25"/>
      <c r="K10" s="26"/>
      <c r="L10" s="27">
        <f t="shared" si="5"/>
        <v>50</v>
      </c>
      <c r="M10" s="13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  <c r="AA10" s="9"/>
      <c r="AB10" s="9"/>
    </row>
    <row r="11" ht="15.75" hidden="1" customHeight="1" outlineLevel="1">
      <c r="A11" s="14">
        <v>46028.0</v>
      </c>
      <c r="B11" s="17">
        <v>0.1</v>
      </c>
      <c r="C11" s="18"/>
      <c r="D11" s="19"/>
      <c r="E11" s="20">
        <v>2.0</v>
      </c>
      <c r="F11" s="21">
        <f t="shared" si="1"/>
        <v>0</v>
      </c>
      <c r="G11" s="22">
        <f t="shared" si="2"/>
        <v>0</v>
      </c>
      <c r="H11" s="23">
        <f t="shared" si="3"/>
        <v>0</v>
      </c>
      <c r="I11" s="24">
        <f t="shared" si="4"/>
        <v>0</v>
      </c>
      <c r="J11" s="25"/>
      <c r="K11" s="26"/>
      <c r="L11" s="27">
        <f t="shared" si="5"/>
        <v>50</v>
      </c>
      <c r="M11" s="13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  <c r="AA11" s="9"/>
      <c r="AB11" s="9"/>
    </row>
    <row r="12" ht="15.75" hidden="1" customHeight="1" outlineLevel="1">
      <c r="A12" s="14">
        <v>46029.0</v>
      </c>
      <c r="B12" s="17">
        <v>0.1</v>
      </c>
      <c r="C12" s="18"/>
      <c r="D12" s="19"/>
      <c r="E12" s="20">
        <v>2.0</v>
      </c>
      <c r="F12" s="21">
        <f t="shared" si="1"/>
        <v>0</v>
      </c>
      <c r="G12" s="22">
        <f t="shared" si="2"/>
        <v>0</v>
      </c>
      <c r="H12" s="23">
        <f t="shared" si="3"/>
        <v>0</v>
      </c>
      <c r="I12" s="24">
        <f t="shared" si="4"/>
        <v>0</v>
      </c>
      <c r="J12" s="25"/>
      <c r="K12" s="26"/>
      <c r="L12" s="27">
        <f t="shared" si="5"/>
        <v>50</v>
      </c>
      <c r="M12" s="13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  <c r="AA12" s="9"/>
      <c r="AB12" s="9"/>
    </row>
    <row r="13" ht="15.75" hidden="1" customHeight="1" outlineLevel="1">
      <c r="A13" s="14">
        <v>46030.0</v>
      </c>
      <c r="B13" s="17">
        <v>0.1</v>
      </c>
      <c r="C13" s="18"/>
      <c r="D13" s="19"/>
      <c r="E13" s="20">
        <v>2.0</v>
      </c>
      <c r="F13" s="21">
        <f t="shared" si="1"/>
        <v>0</v>
      </c>
      <c r="G13" s="22">
        <f t="shared" si="2"/>
        <v>0</v>
      </c>
      <c r="H13" s="23">
        <f t="shared" si="3"/>
        <v>0</v>
      </c>
      <c r="I13" s="24">
        <f t="shared" si="4"/>
        <v>0</v>
      </c>
      <c r="J13" s="25"/>
      <c r="K13" s="26"/>
      <c r="L13" s="27">
        <f t="shared" si="5"/>
        <v>50</v>
      </c>
      <c r="M13" s="13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  <c r="AA13" s="9"/>
      <c r="AB13" s="9"/>
    </row>
    <row r="14" ht="15.75" hidden="1" customHeight="1" outlineLevel="1">
      <c r="A14" s="14">
        <v>46031.0</v>
      </c>
      <c r="B14" s="17">
        <v>0.1</v>
      </c>
      <c r="C14" s="18"/>
      <c r="D14" s="19"/>
      <c r="E14" s="20">
        <v>2.0</v>
      </c>
      <c r="F14" s="21">
        <f t="shared" si="1"/>
        <v>0</v>
      </c>
      <c r="G14" s="22">
        <f t="shared" si="2"/>
        <v>0</v>
      </c>
      <c r="H14" s="23">
        <f t="shared" si="3"/>
        <v>0</v>
      </c>
      <c r="I14" s="24">
        <f t="shared" si="4"/>
        <v>0</v>
      </c>
      <c r="J14" s="25"/>
      <c r="K14" s="26"/>
      <c r="L14" s="27">
        <f t="shared" si="5"/>
        <v>50</v>
      </c>
      <c r="M14" s="13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  <c r="AA14" s="9"/>
      <c r="AB14" s="9"/>
    </row>
    <row r="15" ht="15.75" hidden="1" customHeight="1" outlineLevel="1">
      <c r="A15" s="14">
        <v>46032.0</v>
      </c>
      <c r="B15" s="17">
        <v>0.1</v>
      </c>
      <c r="C15" s="18"/>
      <c r="D15" s="19"/>
      <c r="E15" s="20">
        <v>2.0</v>
      </c>
      <c r="F15" s="21">
        <f t="shared" si="1"/>
        <v>0</v>
      </c>
      <c r="G15" s="22">
        <f t="shared" si="2"/>
        <v>0</v>
      </c>
      <c r="H15" s="23">
        <f t="shared" si="3"/>
        <v>0</v>
      </c>
      <c r="I15" s="24">
        <f t="shared" si="4"/>
        <v>0</v>
      </c>
      <c r="J15" s="25"/>
      <c r="K15" s="26"/>
      <c r="L15" s="27">
        <f t="shared" si="5"/>
        <v>50</v>
      </c>
      <c r="M15" s="13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  <c r="AA15" s="9"/>
      <c r="AB15" s="9"/>
    </row>
    <row r="16" ht="15.75" hidden="1" customHeight="1" outlineLevel="1">
      <c r="A16" s="14">
        <v>46033.0</v>
      </c>
      <c r="B16" s="17">
        <v>0.1</v>
      </c>
      <c r="C16" s="18"/>
      <c r="D16" s="19"/>
      <c r="E16" s="20">
        <v>2.0</v>
      </c>
      <c r="F16" s="21">
        <f t="shared" si="1"/>
        <v>0</v>
      </c>
      <c r="G16" s="22">
        <f t="shared" si="2"/>
        <v>0</v>
      </c>
      <c r="H16" s="23">
        <f t="shared" si="3"/>
        <v>0</v>
      </c>
      <c r="I16" s="24">
        <f t="shared" si="4"/>
        <v>0</v>
      </c>
      <c r="J16" s="25"/>
      <c r="K16" s="26"/>
      <c r="L16" s="27">
        <f t="shared" si="5"/>
        <v>50</v>
      </c>
      <c r="M16" s="13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  <c r="AA16" s="9"/>
      <c r="AB16" s="9"/>
    </row>
    <row r="17" ht="15.75" hidden="1" customHeight="1" outlineLevel="1">
      <c r="A17" s="14">
        <v>46034.0</v>
      </c>
      <c r="B17" s="17">
        <v>0.1</v>
      </c>
      <c r="C17" s="18"/>
      <c r="D17" s="19"/>
      <c r="E17" s="20">
        <v>2.0</v>
      </c>
      <c r="F17" s="21">
        <f t="shared" si="1"/>
        <v>0</v>
      </c>
      <c r="G17" s="22">
        <f t="shared" si="2"/>
        <v>0</v>
      </c>
      <c r="H17" s="23">
        <f t="shared" si="3"/>
        <v>0</v>
      </c>
      <c r="I17" s="24">
        <f t="shared" si="4"/>
        <v>0</v>
      </c>
      <c r="J17" s="25"/>
      <c r="K17" s="26"/>
      <c r="L17" s="27">
        <f t="shared" si="5"/>
        <v>50</v>
      </c>
      <c r="M17" s="13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  <c r="AA17" s="9"/>
      <c r="AB17" s="9"/>
    </row>
    <row r="18" ht="15.75" hidden="1" customHeight="1" outlineLevel="1">
      <c r="A18" s="14">
        <v>46035.0</v>
      </c>
      <c r="B18" s="17">
        <v>0.1</v>
      </c>
      <c r="C18" s="18"/>
      <c r="D18" s="19"/>
      <c r="E18" s="20">
        <v>2.0</v>
      </c>
      <c r="F18" s="21">
        <f t="shared" si="1"/>
        <v>0</v>
      </c>
      <c r="G18" s="22">
        <f t="shared" si="2"/>
        <v>0</v>
      </c>
      <c r="H18" s="23">
        <f t="shared" si="3"/>
        <v>0</v>
      </c>
      <c r="I18" s="24">
        <f t="shared" si="4"/>
        <v>0</v>
      </c>
      <c r="J18" s="25"/>
      <c r="K18" s="26"/>
      <c r="L18" s="27">
        <f t="shared" si="5"/>
        <v>50</v>
      </c>
      <c r="M18" s="13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  <c r="AA18" s="9"/>
      <c r="AB18" s="9"/>
    </row>
    <row r="19" ht="15.75" hidden="1" customHeight="1" outlineLevel="1">
      <c r="A19" s="14">
        <v>46036.0</v>
      </c>
      <c r="B19" s="17">
        <v>0.1</v>
      </c>
      <c r="C19" s="18"/>
      <c r="D19" s="19"/>
      <c r="E19" s="20">
        <v>2.0</v>
      </c>
      <c r="F19" s="21">
        <f t="shared" si="1"/>
        <v>0</v>
      </c>
      <c r="G19" s="22">
        <f t="shared" si="2"/>
        <v>0</v>
      </c>
      <c r="H19" s="23">
        <f t="shared" si="3"/>
        <v>0</v>
      </c>
      <c r="I19" s="24">
        <f t="shared" si="4"/>
        <v>0</v>
      </c>
      <c r="J19" s="25"/>
      <c r="K19" s="26"/>
      <c r="L19" s="27">
        <f t="shared" si="5"/>
        <v>50</v>
      </c>
      <c r="M19" s="13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9"/>
      <c r="AB19" s="9"/>
    </row>
    <row r="20" ht="15.75" hidden="1" customHeight="1" outlineLevel="1">
      <c r="A20" s="14">
        <v>46037.0</v>
      </c>
      <c r="B20" s="17">
        <v>0.1</v>
      </c>
      <c r="C20" s="18"/>
      <c r="D20" s="19"/>
      <c r="E20" s="20">
        <v>2.0</v>
      </c>
      <c r="F20" s="21">
        <f t="shared" si="1"/>
        <v>0</v>
      </c>
      <c r="G20" s="22">
        <f t="shared" si="2"/>
        <v>0</v>
      </c>
      <c r="H20" s="23">
        <f t="shared" si="3"/>
        <v>0</v>
      </c>
      <c r="I20" s="24">
        <f t="shared" si="4"/>
        <v>0</v>
      </c>
      <c r="J20" s="25"/>
      <c r="K20" s="26"/>
      <c r="L20" s="27">
        <f t="shared" si="5"/>
        <v>50</v>
      </c>
      <c r="M20" s="13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  <c r="AA20" s="9"/>
      <c r="AB20" s="9"/>
    </row>
    <row r="21" ht="15.75" hidden="1" customHeight="1" outlineLevel="1">
      <c r="A21" s="14">
        <v>46038.0</v>
      </c>
      <c r="B21" s="17">
        <v>0.1</v>
      </c>
      <c r="C21" s="18"/>
      <c r="D21" s="19"/>
      <c r="E21" s="20">
        <v>2.0</v>
      </c>
      <c r="F21" s="21">
        <f t="shared" si="1"/>
        <v>0</v>
      </c>
      <c r="G21" s="22">
        <f t="shared" si="2"/>
        <v>0</v>
      </c>
      <c r="H21" s="23">
        <f t="shared" si="3"/>
        <v>0</v>
      </c>
      <c r="I21" s="24">
        <f t="shared" si="4"/>
        <v>0</v>
      </c>
      <c r="J21" s="25"/>
      <c r="K21" s="26"/>
      <c r="L21" s="27">
        <f t="shared" si="5"/>
        <v>50</v>
      </c>
      <c r="M21" s="13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  <c r="AA21" s="9"/>
      <c r="AB21" s="9"/>
    </row>
    <row r="22" ht="15.75" hidden="1" customHeight="1" outlineLevel="1">
      <c r="A22" s="14">
        <v>46039.0</v>
      </c>
      <c r="B22" s="17">
        <v>0.1</v>
      </c>
      <c r="C22" s="18"/>
      <c r="D22" s="19"/>
      <c r="E22" s="20">
        <v>2.0</v>
      </c>
      <c r="F22" s="21">
        <f t="shared" si="1"/>
        <v>0</v>
      </c>
      <c r="G22" s="22">
        <f t="shared" si="2"/>
        <v>0</v>
      </c>
      <c r="H22" s="23">
        <f t="shared" si="3"/>
        <v>0</v>
      </c>
      <c r="I22" s="24">
        <f t="shared" si="4"/>
        <v>0</v>
      </c>
      <c r="J22" s="25"/>
      <c r="K22" s="26"/>
      <c r="L22" s="27">
        <f t="shared" si="5"/>
        <v>50</v>
      </c>
      <c r="M22" s="13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  <c r="AA22" s="9"/>
      <c r="AB22" s="9"/>
    </row>
    <row r="23" ht="15.75" hidden="1" customHeight="1" outlineLevel="1">
      <c r="A23" s="14">
        <v>46040.0</v>
      </c>
      <c r="B23" s="17">
        <v>0.1</v>
      </c>
      <c r="C23" s="18"/>
      <c r="D23" s="19"/>
      <c r="E23" s="20">
        <v>2.0</v>
      </c>
      <c r="F23" s="21">
        <f t="shared" si="1"/>
        <v>0</v>
      </c>
      <c r="G23" s="22">
        <f t="shared" si="2"/>
        <v>0</v>
      </c>
      <c r="H23" s="23">
        <f t="shared" si="3"/>
        <v>0</v>
      </c>
      <c r="I23" s="24">
        <f t="shared" si="4"/>
        <v>0</v>
      </c>
      <c r="J23" s="25"/>
      <c r="K23" s="26"/>
      <c r="L23" s="27">
        <f t="shared" si="5"/>
        <v>50</v>
      </c>
      <c r="M23" s="13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  <c r="AA23" s="9"/>
      <c r="AB23" s="9"/>
    </row>
    <row r="24" ht="15.75" hidden="1" customHeight="1" outlineLevel="1">
      <c r="A24" s="14">
        <v>46041.0</v>
      </c>
      <c r="B24" s="17">
        <v>0.1</v>
      </c>
      <c r="C24" s="18"/>
      <c r="D24" s="19"/>
      <c r="E24" s="20">
        <v>2.0</v>
      </c>
      <c r="F24" s="21">
        <f t="shared" si="1"/>
        <v>0</v>
      </c>
      <c r="G24" s="22">
        <f t="shared" si="2"/>
        <v>0</v>
      </c>
      <c r="H24" s="23">
        <f t="shared" si="3"/>
        <v>0</v>
      </c>
      <c r="I24" s="24">
        <f t="shared" si="4"/>
        <v>0</v>
      </c>
      <c r="J24" s="25"/>
      <c r="K24" s="26"/>
      <c r="L24" s="27">
        <f t="shared" si="5"/>
        <v>50</v>
      </c>
      <c r="M24" s="13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  <c r="AA24" s="9"/>
      <c r="AB24" s="9"/>
    </row>
    <row r="25" ht="15.75" hidden="1" customHeight="1" outlineLevel="1">
      <c r="A25" s="14">
        <v>46042.0</v>
      </c>
      <c r="B25" s="17">
        <v>0.1</v>
      </c>
      <c r="C25" s="18"/>
      <c r="D25" s="19"/>
      <c r="E25" s="20">
        <v>2.0</v>
      </c>
      <c r="F25" s="21">
        <f t="shared" si="1"/>
        <v>0</v>
      </c>
      <c r="G25" s="22">
        <f t="shared" si="2"/>
        <v>0</v>
      </c>
      <c r="H25" s="23">
        <f t="shared" si="3"/>
        <v>0</v>
      </c>
      <c r="I25" s="24">
        <f t="shared" si="4"/>
        <v>0</v>
      </c>
      <c r="J25" s="25"/>
      <c r="K25" s="26"/>
      <c r="L25" s="27">
        <f t="shared" si="5"/>
        <v>50</v>
      </c>
      <c r="M25" s="13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9"/>
      <c r="AB25" s="9"/>
    </row>
    <row r="26" ht="15.75" hidden="1" customHeight="1" outlineLevel="1">
      <c r="A26" s="14">
        <v>46043.0</v>
      </c>
      <c r="B26" s="17">
        <v>0.1</v>
      </c>
      <c r="C26" s="18"/>
      <c r="D26" s="19"/>
      <c r="E26" s="20">
        <v>2.0</v>
      </c>
      <c r="F26" s="21">
        <f t="shared" si="1"/>
        <v>0</v>
      </c>
      <c r="G26" s="22">
        <f t="shared" si="2"/>
        <v>0</v>
      </c>
      <c r="H26" s="23">
        <f t="shared" si="3"/>
        <v>0</v>
      </c>
      <c r="I26" s="24">
        <f t="shared" si="4"/>
        <v>0</v>
      </c>
      <c r="J26" s="25"/>
      <c r="K26" s="26"/>
      <c r="L26" s="27">
        <f t="shared" si="5"/>
        <v>50</v>
      </c>
      <c r="M26" s="13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  <c r="AA26" s="9"/>
      <c r="AB26" s="9"/>
    </row>
    <row r="27" ht="15.75" hidden="1" customHeight="1" outlineLevel="1">
      <c r="A27" s="14">
        <v>46044.0</v>
      </c>
      <c r="B27" s="17">
        <v>0.1</v>
      </c>
      <c r="C27" s="18"/>
      <c r="D27" s="19"/>
      <c r="E27" s="20">
        <v>2.0</v>
      </c>
      <c r="F27" s="21">
        <f t="shared" si="1"/>
        <v>0</v>
      </c>
      <c r="G27" s="22">
        <f t="shared" si="2"/>
        <v>0</v>
      </c>
      <c r="H27" s="23">
        <f t="shared" si="3"/>
        <v>0</v>
      </c>
      <c r="I27" s="24">
        <f t="shared" si="4"/>
        <v>0</v>
      </c>
      <c r="J27" s="25"/>
      <c r="K27" s="26"/>
      <c r="L27" s="27">
        <f t="shared" si="5"/>
        <v>50</v>
      </c>
      <c r="M27" s="13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  <c r="AA27" s="9"/>
      <c r="AB27" s="9"/>
    </row>
    <row r="28" ht="15.75" hidden="1" customHeight="1" outlineLevel="1">
      <c r="A28" s="14">
        <v>46045.0</v>
      </c>
      <c r="B28" s="17">
        <v>0.1</v>
      </c>
      <c r="C28" s="18"/>
      <c r="D28" s="19"/>
      <c r="E28" s="20">
        <v>2.0</v>
      </c>
      <c r="F28" s="21">
        <f t="shared" si="1"/>
        <v>0</v>
      </c>
      <c r="G28" s="22">
        <f t="shared" si="2"/>
        <v>0</v>
      </c>
      <c r="H28" s="23">
        <f t="shared" si="3"/>
        <v>0</v>
      </c>
      <c r="I28" s="24">
        <f t="shared" si="4"/>
        <v>0</v>
      </c>
      <c r="J28" s="25"/>
      <c r="K28" s="26"/>
      <c r="L28" s="27">
        <f t="shared" si="5"/>
        <v>50</v>
      </c>
      <c r="M28" s="13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  <c r="AA28" s="9"/>
      <c r="AB28" s="9"/>
    </row>
    <row r="29" ht="15.75" hidden="1" customHeight="1" outlineLevel="1">
      <c r="A29" s="14">
        <v>46046.0</v>
      </c>
      <c r="B29" s="17">
        <v>0.1</v>
      </c>
      <c r="C29" s="18"/>
      <c r="D29" s="19"/>
      <c r="E29" s="20">
        <v>2.0</v>
      </c>
      <c r="F29" s="21">
        <f t="shared" si="1"/>
        <v>0</v>
      </c>
      <c r="G29" s="22">
        <f t="shared" si="2"/>
        <v>0</v>
      </c>
      <c r="H29" s="23">
        <f t="shared" si="3"/>
        <v>0</v>
      </c>
      <c r="I29" s="24">
        <f t="shared" si="4"/>
        <v>0</v>
      </c>
      <c r="J29" s="25"/>
      <c r="K29" s="26"/>
      <c r="L29" s="27">
        <f t="shared" si="5"/>
        <v>50</v>
      </c>
      <c r="M29" s="13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  <c r="AA29" s="9"/>
      <c r="AB29" s="9"/>
    </row>
    <row r="30" ht="15.75" hidden="1" customHeight="1" outlineLevel="1">
      <c r="A30" s="14">
        <v>46047.0</v>
      </c>
      <c r="B30" s="17">
        <v>0.1</v>
      </c>
      <c r="C30" s="18"/>
      <c r="D30" s="19"/>
      <c r="E30" s="20">
        <v>2.0</v>
      </c>
      <c r="F30" s="21">
        <f t="shared" si="1"/>
        <v>0</v>
      </c>
      <c r="G30" s="22">
        <f t="shared" si="2"/>
        <v>0</v>
      </c>
      <c r="H30" s="23">
        <f t="shared" si="3"/>
        <v>0</v>
      </c>
      <c r="I30" s="24">
        <f t="shared" si="4"/>
        <v>0</v>
      </c>
      <c r="J30" s="25"/>
      <c r="K30" s="26"/>
      <c r="L30" s="27">
        <f t="shared" si="5"/>
        <v>50</v>
      </c>
      <c r="M30" s="13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  <c r="AA30" s="9"/>
      <c r="AB30" s="9"/>
    </row>
    <row r="31" ht="15.75" hidden="1" customHeight="1" outlineLevel="1">
      <c r="A31" s="14">
        <v>46048.0</v>
      </c>
      <c r="B31" s="17">
        <v>0.1</v>
      </c>
      <c r="C31" s="18"/>
      <c r="D31" s="19"/>
      <c r="E31" s="20">
        <v>2.0</v>
      </c>
      <c r="F31" s="21">
        <f t="shared" si="1"/>
        <v>0</v>
      </c>
      <c r="G31" s="22">
        <f t="shared" si="2"/>
        <v>0</v>
      </c>
      <c r="H31" s="23">
        <f t="shared" si="3"/>
        <v>0</v>
      </c>
      <c r="I31" s="24">
        <f t="shared" si="4"/>
        <v>0</v>
      </c>
      <c r="J31" s="25"/>
      <c r="K31" s="26"/>
      <c r="L31" s="27">
        <f t="shared" si="5"/>
        <v>50</v>
      </c>
      <c r="M31" s="13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  <c r="AA31" s="9"/>
      <c r="AB31" s="9"/>
    </row>
    <row r="32" ht="15.75" hidden="1" customHeight="1" outlineLevel="1">
      <c r="A32" s="14">
        <v>46049.0</v>
      </c>
      <c r="B32" s="17">
        <v>0.1</v>
      </c>
      <c r="C32" s="18"/>
      <c r="D32" s="19"/>
      <c r="E32" s="20">
        <v>2.0</v>
      </c>
      <c r="F32" s="21">
        <f t="shared" si="1"/>
        <v>0</v>
      </c>
      <c r="G32" s="22">
        <f t="shared" si="2"/>
        <v>0</v>
      </c>
      <c r="H32" s="23">
        <f t="shared" si="3"/>
        <v>0</v>
      </c>
      <c r="I32" s="24">
        <f t="shared" si="4"/>
        <v>0</v>
      </c>
      <c r="J32" s="25"/>
      <c r="K32" s="26"/>
      <c r="L32" s="27">
        <f t="shared" si="5"/>
        <v>50</v>
      </c>
      <c r="M32" s="13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  <c r="AA32" s="9"/>
      <c r="AB32" s="9"/>
    </row>
    <row r="33" ht="15.75" hidden="1" customHeight="1" outlineLevel="1">
      <c r="A33" s="14">
        <v>46050.0</v>
      </c>
      <c r="B33" s="17">
        <v>0.1</v>
      </c>
      <c r="C33" s="18"/>
      <c r="D33" s="19"/>
      <c r="E33" s="20">
        <v>2.0</v>
      </c>
      <c r="F33" s="21">
        <f t="shared" si="1"/>
        <v>0</v>
      </c>
      <c r="G33" s="22">
        <f t="shared" si="2"/>
        <v>0</v>
      </c>
      <c r="H33" s="23">
        <f t="shared" si="3"/>
        <v>0</v>
      </c>
      <c r="I33" s="24">
        <f t="shared" si="4"/>
        <v>0</v>
      </c>
      <c r="J33" s="25"/>
      <c r="K33" s="26"/>
      <c r="L33" s="27">
        <f t="shared" si="5"/>
        <v>50</v>
      </c>
      <c r="M33" s="13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  <c r="AA33" s="9"/>
      <c r="AB33" s="9"/>
    </row>
    <row r="34" ht="15.75" hidden="1" customHeight="1" outlineLevel="1">
      <c r="A34" s="14">
        <v>46051.0</v>
      </c>
      <c r="B34" s="17">
        <v>0.1</v>
      </c>
      <c r="C34" s="18"/>
      <c r="D34" s="19"/>
      <c r="E34" s="20">
        <v>2.0</v>
      </c>
      <c r="F34" s="21">
        <f t="shared" si="1"/>
        <v>0</v>
      </c>
      <c r="G34" s="22">
        <f t="shared" si="2"/>
        <v>0</v>
      </c>
      <c r="H34" s="23">
        <f t="shared" si="3"/>
        <v>0</v>
      </c>
      <c r="I34" s="24">
        <f t="shared" si="4"/>
        <v>0</v>
      </c>
      <c r="J34" s="25"/>
      <c r="K34" s="26"/>
      <c r="L34" s="27">
        <f t="shared" si="5"/>
        <v>50</v>
      </c>
      <c r="M34" s="13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9"/>
      <c r="AB34" s="9"/>
    </row>
    <row r="35" ht="15.75" hidden="1" customHeight="1" outlineLevel="1">
      <c r="A35" s="14">
        <v>46052.0</v>
      </c>
      <c r="B35" s="17">
        <v>0.1</v>
      </c>
      <c r="C35" s="18"/>
      <c r="D35" s="19"/>
      <c r="E35" s="20">
        <v>2.0</v>
      </c>
      <c r="F35" s="21">
        <f t="shared" si="1"/>
        <v>0</v>
      </c>
      <c r="G35" s="22">
        <f t="shared" si="2"/>
        <v>0</v>
      </c>
      <c r="H35" s="23">
        <f t="shared" si="3"/>
        <v>0</v>
      </c>
      <c r="I35" s="24">
        <f t="shared" si="4"/>
        <v>0</v>
      </c>
      <c r="J35" s="25"/>
      <c r="K35" s="26"/>
      <c r="L35" s="27">
        <f t="shared" si="5"/>
        <v>50</v>
      </c>
      <c r="M35" s="13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  <c r="AA35" s="9"/>
      <c r="AB35" s="9"/>
    </row>
    <row r="36" ht="15.75" hidden="1" customHeight="1" outlineLevel="1">
      <c r="A36" s="14">
        <v>46053.0</v>
      </c>
      <c r="B36" s="17">
        <v>0.1</v>
      </c>
      <c r="C36" s="18"/>
      <c r="D36" s="19"/>
      <c r="E36" s="20">
        <v>2.0</v>
      </c>
      <c r="F36" s="21">
        <f t="shared" si="1"/>
        <v>0</v>
      </c>
      <c r="G36" s="22">
        <f t="shared" si="2"/>
        <v>0</v>
      </c>
      <c r="H36" s="23">
        <f t="shared" si="3"/>
        <v>0</v>
      </c>
      <c r="I36" s="24">
        <f t="shared" si="4"/>
        <v>0</v>
      </c>
      <c r="J36" s="25"/>
      <c r="K36" s="26"/>
      <c r="L36" s="27">
        <f t="shared" si="5"/>
        <v>50</v>
      </c>
      <c r="M36" s="13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  <c r="AA36" s="9"/>
      <c r="AB36" s="9"/>
    </row>
    <row r="37" ht="15.75" hidden="1" customHeight="1" outlineLevel="1">
      <c r="A37" s="28" t="s">
        <v>18</v>
      </c>
      <c r="C37" s="29">
        <f>SUM(C6:C36)</f>
        <v>0.1</v>
      </c>
      <c r="D37" s="30"/>
      <c r="E37" s="30"/>
      <c r="F37" s="30"/>
      <c r="G37" s="30"/>
      <c r="H37" s="30"/>
      <c r="I37" s="31">
        <f t="shared" ref="I37:K37" si="6">SUM(I6:I36)</f>
        <v>0</v>
      </c>
      <c r="J37" s="32">
        <f t="shared" si="6"/>
        <v>0</v>
      </c>
      <c r="K37" s="30">
        <f t="shared" si="6"/>
        <v>0</v>
      </c>
      <c r="L37" s="32">
        <f>L36</f>
        <v>50</v>
      </c>
      <c r="M37" s="13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  <c r="AA37" s="9"/>
      <c r="AB37" s="9"/>
    </row>
    <row r="38" ht="15.75" customHeight="1">
      <c r="A38" s="33"/>
      <c r="B38" s="34"/>
      <c r="C38" s="35"/>
      <c r="D38" s="35"/>
      <c r="E38" s="35"/>
      <c r="F38" s="35"/>
      <c r="G38" s="35"/>
      <c r="H38" s="35"/>
      <c r="I38" s="35"/>
      <c r="J38" s="36" t="s">
        <v>19</v>
      </c>
      <c r="K38" s="37">
        <f>SUM(K6:K36)</f>
        <v>0</v>
      </c>
      <c r="L38" s="35"/>
      <c r="M38" s="13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  <c r="AA38" s="9"/>
      <c r="AB38" s="9"/>
    </row>
    <row r="39" ht="15.75" customHeight="1" collapsed="1">
      <c r="A39" s="1" t="s">
        <v>20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  <c r="AA39" s="9"/>
      <c r="AB39" s="9"/>
    </row>
    <row r="40" ht="15.75" hidden="1" customHeight="1" outlineLevel="1">
      <c r="A40" s="14" t="s">
        <v>6</v>
      </c>
      <c r="B40" s="1" t="s">
        <v>7</v>
      </c>
      <c r="C40" s="1" t="s">
        <v>8</v>
      </c>
      <c r="D40" s="15" t="s">
        <v>9</v>
      </c>
      <c r="E40" s="15" t="s">
        <v>10</v>
      </c>
      <c r="F40" s="15" t="s">
        <v>11</v>
      </c>
      <c r="G40" s="16" t="s">
        <v>12</v>
      </c>
      <c r="H40" s="15" t="s">
        <v>13</v>
      </c>
      <c r="I40" s="1" t="s">
        <v>14</v>
      </c>
      <c r="J40" s="17" t="s">
        <v>15</v>
      </c>
      <c r="K40" s="1" t="s">
        <v>16</v>
      </c>
      <c r="L40" s="1" t="s">
        <v>17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  <c r="AA40" s="9"/>
      <c r="AB40" s="9"/>
    </row>
    <row r="41" ht="15.75" hidden="1" customHeight="1" outlineLevel="1">
      <c r="A41" s="14"/>
      <c r="B41" s="17"/>
      <c r="C41" s="18"/>
      <c r="D41" s="19"/>
      <c r="E41" s="20"/>
      <c r="F41" s="21"/>
      <c r="G41" s="22"/>
      <c r="H41" s="23"/>
      <c r="I41" s="24"/>
      <c r="J41" s="25"/>
      <c r="K41" s="26"/>
      <c r="L41" s="27">
        <f>(L37+J41)-K41</f>
        <v>50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  <c r="AA41" s="9"/>
      <c r="AB41" s="9"/>
    </row>
    <row r="42" ht="15.75" hidden="1" customHeight="1" outlineLevel="1">
      <c r="A42" s="14">
        <v>46055.0</v>
      </c>
      <c r="B42" s="17">
        <v>0.1</v>
      </c>
      <c r="C42" s="18">
        <v>0.1</v>
      </c>
      <c r="D42" s="19">
        <v>0.05</v>
      </c>
      <c r="E42" s="20">
        <v>3.0</v>
      </c>
      <c r="F42" s="21">
        <v>1000.0</v>
      </c>
      <c r="G42" s="22">
        <f t="shared" ref="G42:G46" si="7">L41*C42</f>
        <v>5</v>
      </c>
      <c r="H42" s="23">
        <f t="shared" ref="H42:H46" si="8">L41*D42</f>
        <v>2.5</v>
      </c>
      <c r="I42" s="24">
        <f t="shared" ref="I42:I46" si="9">(J42/L41)*100</f>
        <v>0</v>
      </c>
      <c r="J42" s="25"/>
      <c r="K42" s="26"/>
      <c r="L42" s="27">
        <f t="shared" ref="L42:L68" si="10">(L41+J42)-K42</f>
        <v>50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  <c r="AA42" s="9"/>
      <c r="AB42" s="9"/>
    </row>
    <row r="43" ht="15.75" hidden="1" customHeight="1" outlineLevel="1">
      <c r="A43" s="14">
        <v>46056.0</v>
      </c>
      <c r="B43" s="17">
        <v>0.1</v>
      </c>
      <c r="C43" s="18">
        <v>0.1</v>
      </c>
      <c r="D43" s="19">
        <v>0.05</v>
      </c>
      <c r="E43" s="20">
        <v>3.0</v>
      </c>
      <c r="F43" s="21">
        <v>1000.0</v>
      </c>
      <c r="G43" s="22">
        <f t="shared" si="7"/>
        <v>5</v>
      </c>
      <c r="H43" s="23">
        <f t="shared" si="8"/>
        <v>2.5</v>
      </c>
      <c r="I43" s="24">
        <f t="shared" si="9"/>
        <v>0</v>
      </c>
      <c r="J43" s="25"/>
      <c r="K43" s="26"/>
      <c r="L43" s="27">
        <f t="shared" si="10"/>
        <v>50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  <c r="AA43" s="9"/>
      <c r="AB43" s="9"/>
    </row>
    <row r="44" ht="15.75" hidden="1" customHeight="1" outlineLevel="1">
      <c r="A44" s="14">
        <v>46057.0</v>
      </c>
      <c r="B44" s="17">
        <v>0.1</v>
      </c>
      <c r="C44" s="18">
        <v>0.1</v>
      </c>
      <c r="D44" s="19">
        <v>0.05</v>
      </c>
      <c r="E44" s="20">
        <v>3.0</v>
      </c>
      <c r="F44" s="21">
        <v>1000.0</v>
      </c>
      <c r="G44" s="22">
        <f t="shared" si="7"/>
        <v>5</v>
      </c>
      <c r="H44" s="23">
        <f t="shared" si="8"/>
        <v>2.5</v>
      </c>
      <c r="I44" s="24">
        <f t="shared" si="9"/>
        <v>0</v>
      </c>
      <c r="J44" s="25"/>
      <c r="K44" s="26"/>
      <c r="L44" s="27">
        <f t="shared" si="10"/>
        <v>50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  <c r="AA44" s="9"/>
      <c r="AB44" s="9"/>
    </row>
    <row r="45" ht="15.75" hidden="1" customHeight="1" outlineLevel="1">
      <c r="A45" s="14">
        <v>46058.0</v>
      </c>
      <c r="B45" s="17">
        <v>0.1</v>
      </c>
      <c r="C45" s="18">
        <v>0.1</v>
      </c>
      <c r="D45" s="19">
        <v>0.05</v>
      </c>
      <c r="E45" s="20">
        <v>3.0</v>
      </c>
      <c r="F45" s="21">
        <v>1000.0</v>
      </c>
      <c r="G45" s="22">
        <f t="shared" si="7"/>
        <v>5</v>
      </c>
      <c r="H45" s="23">
        <f t="shared" si="8"/>
        <v>2.5</v>
      </c>
      <c r="I45" s="24">
        <f t="shared" si="9"/>
        <v>0</v>
      </c>
      <c r="J45" s="25"/>
      <c r="K45" s="26"/>
      <c r="L45" s="27">
        <f t="shared" si="10"/>
        <v>50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  <c r="AA45" s="9"/>
      <c r="AB45" s="9"/>
    </row>
    <row r="46" ht="15.75" hidden="1" customHeight="1" outlineLevel="1">
      <c r="A46" s="14">
        <v>46059.0</v>
      </c>
      <c r="B46" s="17">
        <v>0.1</v>
      </c>
      <c r="C46" s="18">
        <v>0.1</v>
      </c>
      <c r="D46" s="19">
        <v>0.05</v>
      </c>
      <c r="E46" s="20">
        <v>3.0</v>
      </c>
      <c r="F46" s="21">
        <v>1000.0</v>
      </c>
      <c r="G46" s="22">
        <f t="shared" si="7"/>
        <v>5</v>
      </c>
      <c r="H46" s="23">
        <f t="shared" si="8"/>
        <v>2.5</v>
      </c>
      <c r="I46" s="24">
        <f t="shared" si="9"/>
        <v>0</v>
      </c>
      <c r="J46" s="25"/>
      <c r="K46" s="26"/>
      <c r="L46" s="27">
        <f t="shared" si="10"/>
        <v>50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  <c r="AA46" s="9"/>
      <c r="AB46" s="9"/>
    </row>
    <row r="47" ht="15.75" hidden="1" customHeight="1" outlineLevel="1">
      <c r="A47" s="14"/>
      <c r="B47" s="17"/>
      <c r="C47" s="18"/>
      <c r="D47" s="19"/>
      <c r="E47" s="20"/>
      <c r="F47" s="21"/>
      <c r="G47" s="22"/>
      <c r="H47" s="23"/>
      <c r="I47" s="24"/>
      <c r="J47" s="25"/>
      <c r="K47" s="26"/>
      <c r="L47" s="27">
        <f t="shared" si="10"/>
        <v>50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  <c r="AA47" s="9"/>
      <c r="AB47" s="9"/>
    </row>
    <row r="48" ht="15.75" hidden="1" customHeight="1" outlineLevel="1">
      <c r="A48" s="14"/>
      <c r="B48" s="17"/>
      <c r="C48" s="18"/>
      <c r="D48" s="19"/>
      <c r="E48" s="20"/>
      <c r="F48" s="21"/>
      <c r="G48" s="22"/>
      <c r="H48" s="23"/>
      <c r="I48" s="24"/>
      <c r="J48" s="25"/>
      <c r="K48" s="26"/>
      <c r="L48" s="27">
        <f t="shared" si="10"/>
        <v>50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  <c r="AA48" s="9"/>
      <c r="AB48" s="9"/>
    </row>
    <row r="49" ht="15.75" hidden="1" customHeight="1" outlineLevel="1">
      <c r="A49" s="14">
        <v>46062.0</v>
      </c>
      <c r="B49" s="17">
        <v>0.1</v>
      </c>
      <c r="C49" s="18">
        <v>0.1</v>
      </c>
      <c r="D49" s="19">
        <v>0.05</v>
      </c>
      <c r="E49" s="20">
        <v>3.0</v>
      </c>
      <c r="F49" s="21">
        <v>1000.0</v>
      </c>
      <c r="G49" s="22">
        <f t="shared" ref="G49:G53" si="11">L48*C49</f>
        <v>5</v>
      </c>
      <c r="H49" s="23">
        <f t="shared" ref="H49:H53" si="12">L48*D49</f>
        <v>2.5</v>
      </c>
      <c r="I49" s="24">
        <f t="shared" ref="I49:I53" si="13">(J49/L48)*100</f>
        <v>0.34</v>
      </c>
      <c r="J49" s="25">
        <v>0.17</v>
      </c>
      <c r="K49" s="26"/>
      <c r="L49" s="27">
        <f t="shared" si="10"/>
        <v>50.17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  <c r="AA49" s="9"/>
      <c r="AB49" s="9"/>
    </row>
    <row r="50" ht="15.75" hidden="1" customHeight="1" outlineLevel="1">
      <c r="A50" s="14">
        <v>46063.0</v>
      </c>
      <c r="B50" s="17">
        <v>0.1</v>
      </c>
      <c r="C50" s="18">
        <v>0.1</v>
      </c>
      <c r="D50" s="19">
        <v>0.05</v>
      </c>
      <c r="E50" s="20">
        <v>3.0</v>
      </c>
      <c r="F50" s="21">
        <v>1000.0</v>
      </c>
      <c r="G50" s="22">
        <f t="shared" si="11"/>
        <v>5.017</v>
      </c>
      <c r="H50" s="23">
        <f t="shared" si="12"/>
        <v>2.5085</v>
      </c>
      <c r="I50" s="24">
        <f t="shared" si="13"/>
        <v>2.112816424</v>
      </c>
      <c r="J50" s="25">
        <v>1.06</v>
      </c>
      <c r="K50" s="26"/>
      <c r="L50" s="27">
        <f t="shared" si="10"/>
        <v>51.23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  <c r="AA50" s="9"/>
      <c r="AB50" s="9"/>
    </row>
    <row r="51" ht="15.75" hidden="1" customHeight="1" outlineLevel="1">
      <c r="A51" s="14">
        <v>46064.0</v>
      </c>
      <c r="B51" s="17">
        <v>0.1</v>
      </c>
      <c r="C51" s="18">
        <v>0.1</v>
      </c>
      <c r="D51" s="19">
        <v>0.05</v>
      </c>
      <c r="E51" s="20">
        <v>3.0</v>
      </c>
      <c r="F51" s="21">
        <v>1000.0</v>
      </c>
      <c r="G51" s="22">
        <f t="shared" si="11"/>
        <v>5.123</v>
      </c>
      <c r="H51" s="23">
        <f t="shared" si="12"/>
        <v>2.5615</v>
      </c>
      <c r="I51" s="24">
        <f t="shared" si="13"/>
        <v>2.576615264</v>
      </c>
      <c r="J51" s="25">
        <v>1.32</v>
      </c>
      <c r="K51" s="26"/>
      <c r="L51" s="27">
        <f t="shared" si="10"/>
        <v>52.55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  <c r="AA51" s="9"/>
      <c r="AB51" s="9"/>
    </row>
    <row r="52" ht="15.75" hidden="1" customHeight="1" outlineLevel="1">
      <c r="A52" s="14">
        <v>46065.0</v>
      </c>
      <c r="B52" s="17">
        <v>0.1</v>
      </c>
      <c r="C52" s="18">
        <v>0.1</v>
      </c>
      <c r="D52" s="19">
        <v>0.05</v>
      </c>
      <c r="E52" s="20">
        <v>3.0</v>
      </c>
      <c r="F52" s="21">
        <v>1000.0</v>
      </c>
      <c r="G52" s="22">
        <f t="shared" si="11"/>
        <v>5.255</v>
      </c>
      <c r="H52" s="23">
        <f t="shared" si="12"/>
        <v>2.6275</v>
      </c>
      <c r="I52" s="24">
        <f t="shared" si="13"/>
        <v>6.393910561</v>
      </c>
      <c r="J52" s="25">
        <v>3.36</v>
      </c>
      <c r="K52" s="26"/>
      <c r="L52" s="27">
        <f t="shared" si="10"/>
        <v>55.91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  <c r="AA52" s="9"/>
      <c r="AB52" s="9"/>
    </row>
    <row r="53" ht="15.75" hidden="1" customHeight="1" outlineLevel="1">
      <c r="A53" s="14">
        <v>46066.0</v>
      </c>
      <c r="B53" s="17">
        <v>0.1</v>
      </c>
      <c r="C53" s="18">
        <v>0.1</v>
      </c>
      <c r="D53" s="19">
        <v>0.05</v>
      </c>
      <c r="E53" s="20">
        <v>3.0</v>
      </c>
      <c r="F53" s="21">
        <v>1000.0</v>
      </c>
      <c r="G53" s="22">
        <f t="shared" si="11"/>
        <v>5.591</v>
      </c>
      <c r="H53" s="23">
        <f t="shared" si="12"/>
        <v>2.7955</v>
      </c>
      <c r="I53" s="24">
        <f t="shared" si="13"/>
        <v>2.164192452</v>
      </c>
      <c r="J53" s="25">
        <v>1.21</v>
      </c>
      <c r="K53" s="26"/>
      <c r="L53" s="27">
        <f t="shared" si="10"/>
        <v>57.12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  <c r="AA53" s="9"/>
      <c r="AB53" s="9"/>
    </row>
    <row r="54" ht="15.75" hidden="1" customHeight="1" outlineLevel="1">
      <c r="A54" s="14"/>
      <c r="B54" s="17"/>
      <c r="C54" s="18"/>
      <c r="D54" s="19"/>
      <c r="E54" s="20"/>
      <c r="F54" s="21"/>
      <c r="G54" s="22"/>
      <c r="H54" s="23"/>
      <c r="I54" s="24"/>
      <c r="J54" s="25"/>
      <c r="K54" s="26"/>
      <c r="L54" s="27">
        <f t="shared" si="10"/>
        <v>57.12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  <c r="AA54" s="9"/>
      <c r="AB54" s="9"/>
    </row>
    <row r="55" ht="15.75" hidden="1" customHeight="1" outlineLevel="1">
      <c r="A55" s="14"/>
      <c r="B55" s="17"/>
      <c r="C55" s="18"/>
      <c r="D55" s="19"/>
      <c r="E55" s="20"/>
      <c r="F55" s="21"/>
      <c r="G55" s="22"/>
      <c r="H55" s="23"/>
      <c r="I55" s="24"/>
      <c r="J55" s="25"/>
      <c r="K55" s="26"/>
      <c r="L55" s="27">
        <f t="shared" si="10"/>
        <v>57.12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  <c r="AA55" s="9"/>
      <c r="AB55" s="9"/>
    </row>
    <row r="56" ht="15.75" hidden="1" customHeight="1" outlineLevel="1">
      <c r="A56" s="14">
        <v>46069.0</v>
      </c>
      <c r="B56" s="17">
        <v>0.1</v>
      </c>
      <c r="C56" s="18">
        <v>0.1</v>
      </c>
      <c r="D56" s="19">
        <v>0.05</v>
      </c>
      <c r="E56" s="20">
        <v>3.0</v>
      </c>
      <c r="F56" s="21">
        <v>1000.0</v>
      </c>
      <c r="G56" s="22">
        <f t="shared" ref="G56:G60" si="14">L55*C56</f>
        <v>5.712</v>
      </c>
      <c r="H56" s="23">
        <f t="shared" ref="H56:H60" si="15">L55*D56</f>
        <v>2.856</v>
      </c>
      <c r="I56" s="24">
        <f t="shared" ref="I56:I60" si="16">(J56/L55)*100</f>
        <v>3.326330532</v>
      </c>
      <c r="J56" s="25">
        <v>1.9</v>
      </c>
      <c r="K56" s="26"/>
      <c r="L56" s="27">
        <f t="shared" si="10"/>
        <v>59.02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  <c r="AA56" s="9"/>
      <c r="AB56" s="9"/>
    </row>
    <row r="57" ht="15.75" hidden="1" customHeight="1" outlineLevel="1">
      <c r="A57" s="14">
        <v>46070.0</v>
      </c>
      <c r="B57" s="17">
        <v>0.1</v>
      </c>
      <c r="C57" s="18">
        <v>0.1</v>
      </c>
      <c r="D57" s="19">
        <v>0.05</v>
      </c>
      <c r="E57" s="20">
        <v>3.0</v>
      </c>
      <c r="F57" s="21">
        <v>1000.0</v>
      </c>
      <c r="G57" s="22">
        <f t="shared" si="14"/>
        <v>5.902</v>
      </c>
      <c r="H57" s="23">
        <f t="shared" si="15"/>
        <v>2.951</v>
      </c>
      <c r="I57" s="24">
        <f t="shared" si="16"/>
        <v>-0.6269061335</v>
      </c>
      <c r="J57" s="25">
        <v>-0.37</v>
      </c>
      <c r="K57" s="26"/>
      <c r="L57" s="27">
        <f t="shared" si="10"/>
        <v>58.65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  <c r="AA57" s="9"/>
      <c r="AB57" s="9"/>
    </row>
    <row r="58" ht="15.75" hidden="1" customHeight="1" outlineLevel="1">
      <c r="A58" s="14">
        <v>46071.0</v>
      </c>
      <c r="B58" s="17">
        <v>0.1</v>
      </c>
      <c r="C58" s="18">
        <v>0.1</v>
      </c>
      <c r="D58" s="19">
        <v>0.05</v>
      </c>
      <c r="E58" s="20">
        <v>3.0</v>
      </c>
      <c r="F58" s="21">
        <v>1000.0</v>
      </c>
      <c r="G58" s="22">
        <f t="shared" si="14"/>
        <v>5.865</v>
      </c>
      <c r="H58" s="23">
        <f t="shared" si="15"/>
        <v>2.9325</v>
      </c>
      <c r="I58" s="24">
        <f t="shared" si="16"/>
        <v>-2.796248934</v>
      </c>
      <c r="J58" s="25">
        <v>-1.64</v>
      </c>
      <c r="K58" s="26"/>
      <c r="L58" s="27">
        <f t="shared" si="10"/>
        <v>57.01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  <c r="AA58" s="9"/>
      <c r="AB58" s="9"/>
    </row>
    <row r="59" ht="15.75" hidden="1" customHeight="1" outlineLevel="1">
      <c r="A59" s="14">
        <v>46072.0</v>
      </c>
      <c r="B59" s="17">
        <v>0.1</v>
      </c>
      <c r="C59" s="18">
        <v>0.1</v>
      </c>
      <c r="D59" s="19">
        <v>0.05</v>
      </c>
      <c r="E59" s="20">
        <v>3.0</v>
      </c>
      <c r="F59" s="21">
        <v>1000.0</v>
      </c>
      <c r="G59" s="22">
        <f t="shared" si="14"/>
        <v>5.701</v>
      </c>
      <c r="H59" s="23">
        <f t="shared" si="15"/>
        <v>2.8505</v>
      </c>
      <c r="I59" s="24">
        <f t="shared" si="16"/>
        <v>8.647605683</v>
      </c>
      <c r="J59" s="25">
        <v>4.93</v>
      </c>
      <c r="K59" s="26"/>
      <c r="L59" s="27">
        <f t="shared" si="10"/>
        <v>61.94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  <c r="AA59" s="9"/>
      <c r="AB59" s="9"/>
    </row>
    <row r="60" ht="15.75" hidden="1" customHeight="1" outlineLevel="1">
      <c r="A60" s="14">
        <v>46073.0</v>
      </c>
      <c r="B60" s="17">
        <v>0.1</v>
      </c>
      <c r="C60" s="18">
        <v>0.1</v>
      </c>
      <c r="D60" s="19">
        <v>0.05</v>
      </c>
      <c r="E60" s="20">
        <v>3.0</v>
      </c>
      <c r="F60" s="21">
        <v>1000.0</v>
      </c>
      <c r="G60" s="22">
        <f t="shared" si="14"/>
        <v>6.194</v>
      </c>
      <c r="H60" s="23">
        <f t="shared" si="15"/>
        <v>3.097</v>
      </c>
      <c r="I60" s="24">
        <f t="shared" si="16"/>
        <v>6.651598321</v>
      </c>
      <c r="J60" s="25">
        <v>4.12</v>
      </c>
      <c r="K60" s="26"/>
      <c r="L60" s="27">
        <f t="shared" si="10"/>
        <v>66.06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  <c r="AA60" s="9"/>
      <c r="AB60" s="9"/>
    </row>
    <row r="61" ht="15.75" hidden="1" customHeight="1" outlineLevel="1">
      <c r="A61" s="14"/>
      <c r="B61" s="17"/>
      <c r="C61" s="18"/>
      <c r="D61" s="19"/>
      <c r="E61" s="20"/>
      <c r="F61" s="21"/>
      <c r="G61" s="22"/>
      <c r="H61" s="23"/>
      <c r="I61" s="24"/>
      <c r="J61" s="25"/>
      <c r="K61" s="26"/>
      <c r="L61" s="27">
        <f t="shared" si="10"/>
        <v>66.06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  <c r="AA61" s="9"/>
      <c r="AB61" s="9"/>
    </row>
    <row r="62" ht="15.75" hidden="1" customHeight="1" outlineLevel="1">
      <c r="A62" s="14"/>
      <c r="B62" s="17"/>
      <c r="C62" s="18"/>
      <c r="D62" s="19"/>
      <c r="E62" s="20"/>
      <c r="F62" s="21"/>
      <c r="G62" s="22"/>
      <c r="H62" s="23"/>
      <c r="I62" s="24"/>
      <c r="J62" s="25"/>
      <c r="K62" s="26"/>
      <c r="L62" s="27">
        <f t="shared" si="10"/>
        <v>66.06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  <c r="AA62" s="9"/>
      <c r="AB62" s="9"/>
    </row>
    <row r="63" ht="15.75" hidden="1" customHeight="1" outlineLevel="1">
      <c r="A63" s="14">
        <v>46076.0</v>
      </c>
      <c r="B63" s="17">
        <v>0.1</v>
      </c>
      <c r="C63" s="18">
        <v>0.1</v>
      </c>
      <c r="D63" s="19">
        <v>0.05</v>
      </c>
      <c r="E63" s="20">
        <v>3.0</v>
      </c>
      <c r="F63" s="21">
        <v>1000.0</v>
      </c>
      <c r="G63" s="22">
        <f t="shared" ref="G63:G67" si="17">L62*C63</f>
        <v>6.606</v>
      </c>
      <c r="H63" s="23">
        <f t="shared" ref="H63:H67" si="18">L62*D63</f>
        <v>3.303</v>
      </c>
      <c r="I63" s="24">
        <f t="shared" ref="I63:I67" si="19">(J63/L62)*100</f>
        <v>4.117468968</v>
      </c>
      <c r="J63" s="25">
        <v>2.72</v>
      </c>
      <c r="K63" s="26"/>
      <c r="L63" s="27">
        <f t="shared" si="10"/>
        <v>68.78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  <c r="AA63" s="9"/>
      <c r="AB63" s="9"/>
    </row>
    <row r="64" ht="15.75" hidden="1" customHeight="1" outlineLevel="1">
      <c r="A64" s="14">
        <v>46077.0</v>
      </c>
      <c r="B64" s="17">
        <v>0.1</v>
      </c>
      <c r="C64" s="18">
        <v>0.1</v>
      </c>
      <c r="D64" s="19">
        <v>0.05</v>
      </c>
      <c r="E64" s="20">
        <v>3.0</v>
      </c>
      <c r="F64" s="21">
        <v>1000.0</v>
      </c>
      <c r="G64" s="22">
        <f t="shared" si="17"/>
        <v>6.878</v>
      </c>
      <c r="H64" s="23">
        <f t="shared" si="18"/>
        <v>3.439</v>
      </c>
      <c r="I64" s="24">
        <f t="shared" si="19"/>
        <v>2.544344286</v>
      </c>
      <c r="J64" s="25">
        <v>1.75</v>
      </c>
      <c r="K64" s="26"/>
      <c r="L64" s="27">
        <f t="shared" si="10"/>
        <v>70.53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  <c r="AA64" s="9"/>
      <c r="AB64" s="9"/>
    </row>
    <row r="65" ht="15.75" hidden="1" customHeight="1" outlineLevel="1">
      <c r="A65" s="14">
        <v>46078.0</v>
      </c>
      <c r="B65" s="17">
        <v>0.1</v>
      </c>
      <c r="C65" s="18">
        <v>0.1</v>
      </c>
      <c r="D65" s="19">
        <v>0.05</v>
      </c>
      <c r="E65" s="20">
        <v>3.0</v>
      </c>
      <c r="F65" s="21">
        <v>1000.0</v>
      </c>
      <c r="G65" s="22">
        <f t="shared" si="17"/>
        <v>7.053</v>
      </c>
      <c r="H65" s="23">
        <f t="shared" si="18"/>
        <v>3.5265</v>
      </c>
      <c r="I65" s="24">
        <f t="shared" si="19"/>
        <v>3.502055863</v>
      </c>
      <c r="J65" s="25">
        <v>2.47</v>
      </c>
      <c r="K65" s="26"/>
      <c r="L65" s="27">
        <f t="shared" si="10"/>
        <v>73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  <c r="AA65" s="9"/>
      <c r="AB65" s="9"/>
    </row>
    <row r="66" ht="15.75" hidden="1" customHeight="1" outlineLevel="1">
      <c r="A66" s="14">
        <v>46079.0</v>
      </c>
      <c r="B66" s="17">
        <v>0.1</v>
      </c>
      <c r="C66" s="18">
        <v>0.1</v>
      </c>
      <c r="D66" s="19">
        <v>0.05</v>
      </c>
      <c r="E66" s="20">
        <v>3.0</v>
      </c>
      <c r="F66" s="21">
        <v>1000.0</v>
      </c>
      <c r="G66" s="22">
        <f t="shared" si="17"/>
        <v>7.3</v>
      </c>
      <c r="H66" s="23">
        <f t="shared" si="18"/>
        <v>3.65</v>
      </c>
      <c r="I66" s="24">
        <f t="shared" si="19"/>
        <v>2.97260274</v>
      </c>
      <c r="J66" s="25">
        <v>2.17</v>
      </c>
      <c r="K66" s="26"/>
      <c r="L66" s="27">
        <f t="shared" si="10"/>
        <v>75.17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  <c r="AA66" s="9"/>
      <c r="AB66" s="9"/>
    </row>
    <row r="67" ht="15.75" hidden="1" customHeight="1" outlineLevel="1">
      <c r="A67" s="14">
        <v>46080.0</v>
      </c>
      <c r="B67" s="17">
        <v>0.1</v>
      </c>
      <c r="C67" s="18">
        <v>0.1</v>
      </c>
      <c r="D67" s="19">
        <v>0.05</v>
      </c>
      <c r="E67" s="20">
        <v>3.0</v>
      </c>
      <c r="F67" s="21">
        <v>1000.0</v>
      </c>
      <c r="G67" s="22">
        <f t="shared" si="17"/>
        <v>7.517</v>
      </c>
      <c r="H67" s="23">
        <f t="shared" si="18"/>
        <v>3.7585</v>
      </c>
      <c r="I67" s="24">
        <f t="shared" si="19"/>
        <v>-8.939736597</v>
      </c>
      <c r="J67" s="25">
        <v>-6.72</v>
      </c>
      <c r="K67" s="26"/>
      <c r="L67" s="27">
        <f t="shared" si="10"/>
        <v>68.45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  <c r="AA67" s="9"/>
      <c r="AB67" s="9"/>
    </row>
    <row r="68" ht="15.75" hidden="1" customHeight="1" outlineLevel="1">
      <c r="A68" s="14"/>
      <c r="B68" s="17"/>
      <c r="C68" s="18"/>
      <c r="D68" s="19"/>
      <c r="E68" s="20"/>
      <c r="F68" s="21"/>
      <c r="G68" s="22"/>
      <c r="H68" s="23"/>
      <c r="I68" s="24"/>
      <c r="J68" s="25"/>
      <c r="K68" s="26"/>
      <c r="L68" s="27">
        <f t="shared" si="10"/>
        <v>68.45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  <c r="AA68" s="9"/>
      <c r="AB68" s="9"/>
    </row>
    <row r="69" ht="15.75" hidden="1" customHeight="1" outlineLevel="1">
      <c r="A69" s="28" t="s">
        <v>18</v>
      </c>
      <c r="C69" s="29">
        <f>SUM(C41:C68)</f>
        <v>2</v>
      </c>
      <c r="D69" s="30"/>
      <c r="E69" s="30"/>
      <c r="F69" s="30"/>
      <c r="G69" s="30"/>
      <c r="H69" s="30"/>
      <c r="I69" s="31">
        <f t="shared" ref="I69:K69" si="20">SUM(I41:I68)</f>
        <v>32.98664943</v>
      </c>
      <c r="J69" s="32">
        <f t="shared" si="20"/>
        <v>18.45</v>
      </c>
      <c r="K69" s="30">
        <f t="shared" si="20"/>
        <v>0</v>
      </c>
      <c r="L69" s="32">
        <f>L68</f>
        <v>68.45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  <c r="AA69" s="9"/>
      <c r="AB69" s="9"/>
    </row>
    <row r="70" ht="15.75" customHeight="1">
      <c r="A70" s="38"/>
      <c r="B70" s="35"/>
      <c r="C70" s="35"/>
      <c r="D70" s="35"/>
      <c r="E70" s="35"/>
      <c r="F70" s="35"/>
      <c r="G70" s="35"/>
      <c r="H70" s="35"/>
      <c r="I70" s="35"/>
      <c r="J70" s="35"/>
      <c r="K70" s="37">
        <f>SUM(K41:K68)</f>
        <v>0</v>
      </c>
      <c r="L70" s="35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  <c r="AA70" s="9"/>
      <c r="AB70" s="9"/>
    </row>
    <row r="71" ht="15.75" customHeight="1">
      <c r="A71" s="1" t="s">
        <v>21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  <c r="AA71" s="9"/>
      <c r="AB71" s="9"/>
    </row>
    <row r="72" ht="15.75" customHeight="1" outlineLevel="1">
      <c r="A72" s="14" t="s">
        <v>6</v>
      </c>
      <c r="B72" s="1" t="s">
        <v>7</v>
      </c>
      <c r="C72" s="1" t="s">
        <v>8</v>
      </c>
      <c r="D72" s="15" t="s">
        <v>9</v>
      </c>
      <c r="E72" s="15" t="s">
        <v>10</v>
      </c>
      <c r="F72" s="15" t="s">
        <v>11</v>
      </c>
      <c r="G72" s="16" t="s">
        <v>12</v>
      </c>
      <c r="H72" s="15" t="s">
        <v>13</v>
      </c>
      <c r="I72" s="1" t="s">
        <v>14</v>
      </c>
      <c r="J72" s="17" t="s">
        <v>15</v>
      </c>
      <c r="K72" s="1" t="s">
        <v>16</v>
      </c>
      <c r="L72" s="1" t="s">
        <v>17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/>
      <c r="AA72" s="9"/>
      <c r="AB72" s="9"/>
    </row>
    <row r="73" ht="15.75" customHeight="1" outlineLevel="1">
      <c r="A73" s="14"/>
      <c r="B73" s="17"/>
      <c r="C73" s="18"/>
      <c r="D73" s="19"/>
      <c r="E73" s="20"/>
      <c r="F73" s="21"/>
      <c r="G73" s="22"/>
      <c r="H73" s="23"/>
      <c r="I73" s="24"/>
      <c r="J73" s="25"/>
      <c r="K73" s="26"/>
      <c r="L73" s="27">
        <f>(L69+J73)-K73</f>
        <v>68.45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"/>
      <c r="AA73" s="9"/>
      <c r="AB73" s="9"/>
    </row>
    <row r="74" ht="15.75" customHeight="1" outlineLevel="1">
      <c r="A74" s="14">
        <v>46083.0</v>
      </c>
      <c r="B74" s="17">
        <v>0.1</v>
      </c>
      <c r="C74" s="18">
        <v>0.1</v>
      </c>
      <c r="D74" s="19">
        <v>0.05</v>
      </c>
      <c r="E74" s="20">
        <v>3.0</v>
      </c>
      <c r="F74" s="21">
        <v>1000.0</v>
      </c>
      <c r="G74" s="22">
        <f t="shared" ref="G74:G78" si="21">L73*C74</f>
        <v>6.845</v>
      </c>
      <c r="H74" s="23">
        <f t="shared" ref="H74:H78" si="22">L73*D74</f>
        <v>3.4225</v>
      </c>
      <c r="I74" s="24">
        <f t="shared" ref="I74:I78" si="23">(J74/L73)*100</f>
        <v>47.18772827</v>
      </c>
      <c r="J74" s="25">
        <v>32.3</v>
      </c>
      <c r="K74" s="26"/>
      <c r="L74" s="27">
        <f>(L73+J74)-K74</f>
        <v>100.75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  <c r="AA74" s="9"/>
      <c r="AB74" s="9"/>
    </row>
    <row r="75" ht="15.75" customHeight="1" outlineLevel="1">
      <c r="A75" s="14">
        <v>46084.0</v>
      </c>
      <c r="B75" s="17">
        <v>0.1</v>
      </c>
      <c r="C75" s="18">
        <v>0.1</v>
      </c>
      <c r="D75" s="19">
        <v>0.05</v>
      </c>
      <c r="E75" s="20">
        <v>3.0</v>
      </c>
      <c r="F75" s="21">
        <v>1000.0</v>
      </c>
      <c r="G75" s="22">
        <f t="shared" si="21"/>
        <v>10.075</v>
      </c>
      <c r="H75" s="23">
        <f t="shared" si="22"/>
        <v>5.0375</v>
      </c>
      <c r="I75" s="24">
        <f t="shared" si="23"/>
        <v>0.2282878412</v>
      </c>
      <c r="J75" s="25">
        <v>0.23</v>
      </c>
      <c r="K75" s="26"/>
      <c r="L75" s="27">
        <f>(L74+J75)-K75-K105</f>
        <v>50.98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  <c r="AA75" s="9"/>
      <c r="AB75" s="9"/>
    </row>
    <row r="76" ht="15.75" customHeight="1" outlineLevel="1">
      <c r="A76" s="14">
        <v>46085.0</v>
      </c>
      <c r="B76" s="17">
        <v>0.1</v>
      </c>
      <c r="C76" s="18">
        <v>0.1</v>
      </c>
      <c r="D76" s="19">
        <v>0.05</v>
      </c>
      <c r="E76" s="20">
        <v>3.0</v>
      </c>
      <c r="F76" s="21">
        <v>1000.0</v>
      </c>
      <c r="G76" s="22">
        <f t="shared" si="21"/>
        <v>5.098</v>
      </c>
      <c r="H76" s="23">
        <f t="shared" si="22"/>
        <v>2.549</v>
      </c>
      <c r="I76" s="24">
        <f t="shared" si="23"/>
        <v>6.669282071</v>
      </c>
      <c r="J76" s="25">
        <v>3.4</v>
      </c>
      <c r="K76" s="26"/>
      <c r="L76" s="27">
        <f t="shared" ref="L76:L103" si="24">(L75+J76)-K76</f>
        <v>54.38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  <c r="AA76" s="9"/>
      <c r="AB76" s="9"/>
    </row>
    <row r="77" ht="15.75" customHeight="1" outlineLevel="1">
      <c r="A77" s="14">
        <v>46086.0</v>
      </c>
      <c r="B77" s="17">
        <v>0.1</v>
      </c>
      <c r="C77" s="18">
        <v>0.1</v>
      </c>
      <c r="D77" s="19">
        <v>0.05</v>
      </c>
      <c r="E77" s="20">
        <v>3.0</v>
      </c>
      <c r="F77" s="21">
        <v>1000.0</v>
      </c>
      <c r="G77" s="22">
        <f t="shared" si="21"/>
        <v>5.438</v>
      </c>
      <c r="H77" s="23">
        <f t="shared" si="22"/>
        <v>2.719</v>
      </c>
      <c r="I77" s="24">
        <f t="shared" si="23"/>
        <v>-4.229496138</v>
      </c>
      <c r="J77" s="25">
        <v>-2.3</v>
      </c>
      <c r="K77" s="26"/>
      <c r="L77" s="27">
        <f t="shared" si="24"/>
        <v>52.08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  <c r="AA77" s="9"/>
      <c r="AB77" s="9"/>
    </row>
    <row r="78" ht="15.75" customHeight="1" outlineLevel="1">
      <c r="A78" s="14">
        <v>46087.0</v>
      </c>
      <c r="B78" s="17">
        <v>0.1</v>
      </c>
      <c r="C78" s="18">
        <v>0.1</v>
      </c>
      <c r="D78" s="19">
        <v>0.05</v>
      </c>
      <c r="E78" s="20">
        <v>3.0</v>
      </c>
      <c r="F78" s="21">
        <v>1000.0</v>
      </c>
      <c r="G78" s="22">
        <f t="shared" si="21"/>
        <v>5.208</v>
      </c>
      <c r="H78" s="23">
        <f t="shared" si="22"/>
        <v>2.604</v>
      </c>
      <c r="I78" s="24">
        <f t="shared" si="23"/>
        <v>-1.728110599</v>
      </c>
      <c r="J78" s="25">
        <v>-0.9</v>
      </c>
      <c r="K78" s="26"/>
      <c r="L78" s="27">
        <f t="shared" si="24"/>
        <v>51.18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  <c r="AA78" s="9"/>
      <c r="AB78" s="9"/>
    </row>
    <row r="79" ht="15.75" customHeight="1" outlineLevel="1">
      <c r="A79" s="14"/>
      <c r="B79" s="17"/>
      <c r="C79" s="18"/>
      <c r="D79" s="19"/>
      <c r="E79" s="20"/>
      <c r="F79" s="21"/>
      <c r="G79" s="22"/>
      <c r="H79" s="23"/>
      <c r="I79" s="24"/>
      <c r="J79" s="25"/>
      <c r="K79" s="26"/>
      <c r="L79" s="27">
        <f t="shared" si="24"/>
        <v>51.18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  <c r="AA79" s="9"/>
      <c r="AB79" s="9"/>
    </row>
    <row r="80" ht="15.75" customHeight="1" outlineLevel="1">
      <c r="A80" s="14"/>
      <c r="B80" s="17"/>
      <c r="C80" s="18"/>
      <c r="D80" s="19"/>
      <c r="E80" s="20"/>
      <c r="F80" s="21"/>
      <c r="G80" s="22"/>
      <c r="H80" s="23"/>
      <c r="I80" s="24"/>
      <c r="J80" s="25"/>
      <c r="K80" s="26"/>
      <c r="L80" s="27">
        <f t="shared" si="24"/>
        <v>51.18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  <c r="AA80" s="9"/>
      <c r="AB80" s="9"/>
    </row>
    <row r="81" ht="15.75" customHeight="1" outlineLevel="1">
      <c r="A81" s="14">
        <v>46090.0</v>
      </c>
      <c r="B81" s="17">
        <v>0.1</v>
      </c>
      <c r="C81" s="18">
        <v>0.1</v>
      </c>
      <c r="D81" s="19">
        <v>0.05</v>
      </c>
      <c r="E81" s="20">
        <v>3.0</v>
      </c>
      <c r="F81" s="21">
        <v>1000.0</v>
      </c>
      <c r="G81" s="22">
        <f t="shared" ref="G81:G85" si="25">L80*C81</f>
        <v>5.118</v>
      </c>
      <c r="H81" s="23">
        <f t="shared" ref="H81:H85" si="26">L80*D81</f>
        <v>2.559</v>
      </c>
      <c r="I81" s="24">
        <f t="shared" ref="I81:I85" si="27">(J81/L80)*100</f>
        <v>12.32903478</v>
      </c>
      <c r="J81" s="25">
        <v>6.31</v>
      </c>
      <c r="K81" s="26"/>
      <c r="L81" s="27">
        <f t="shared" si="24"/>
        <v>57.49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  <c r="AA81" s="9"/>
      <c r="AB81" s="9"/>
    </row>
    <row r="82" ht="15.75" customHeight="1" outlineLevel="1">
      <c r="A82" s="14">
        <v>46091.0</v>
      </c>
      <c r="B82" s="17">
        <v>0.1</v>
      </c>
      <c r="C82" s="18">
        <v>0.1</v>
      </c>
      <c r="D82" s="19">
        <v>0.05</v>
      </c>
      <c r="E82" s="20">
        <v>3.0</v>
      </c>
      <c r="F82" s="21">
        <v>1000.0</v>
      </c>
      <c r="G82" s="22">
        <f t="shared" si="25"/>
        <v>5.749</v>
      </c>
      <c r="H82" s="23">
        <f t="shared" si="26"/>
        <v>2.8745</v>
      </c>
      <c r="I82" s="24">
        <f t="shared" si="27"/>
        <v>-4.574708645</v>
      </c>
      <c r="J82" s="25">
        <v>-2.63</v>
      </c>
      <c r="K82" s="26"/>
      <c r="L82" s="27">
        <f t="shared" si="24"/>
        <v>54.86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  <c r="AA82" s="9"/>
      <c r="AB82" s="9"/>
    </row>
    <row r="83" ht="15.75" customHeight="1" outlineLevel="1">
      <c r="A83" s="14">
        <v>46092.0</v>
      </c>
      <c r="B83" s="17">
        <v>0.1</v>
      </c>
      <c r="C83" s="18">
        <v>0.1</v>
      </c>
      <c r="D83" s="19">
        <v>0.05</v>
      </c>
      <c r="E83" s="20">
        <v>3.0</v>
      </c>
      <c r="F83" s="21">
        <v>1000.0</v>
      </c>
      <c r="G83" s="22">
        <f t="shared" si="25"/>
        <v>5.486</v>
      </c>
      <c r="H83" s="23">
        <f t="shared" si="26"/>
        <v>2.743</v>
      </c>
      <c r="I83" s="24">
        <f t="shared" si="27"/>
        <v>10.40831207</v>
      </c>
      <c r="J83" s="25">
        <v>5.71</v>
      </c>
      <c r="K83" s="26"/>
      <c r="L83" s="27">
        <f t="shared" si="24"/>
        <v>60.57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  <c r="AA83" s="9"/>
      <c r="AB83" s="9"/>
    </row>
    <row r="84" ht="15.75" customHeight="1" outlineLevel="1">
      <c r="A84" s="14">
        <v>46093.0</v>
      </c>
      <c r="B84" s="17">
        <v>0.1</v>
      </c>
      <c r="C84" s="18">
        <v>0.1</v>
      </c>
      <c r="D84" s="19">
        <v>0.05</v>
      </c>
      <c r="E84" s="20">
        <v>3.0</v>
      </c>
      <c r="F84" s="21">
        <v>1000.0</v>
      </c>
      <c r="G84" s="22">
        <f t="shared" si="25"/>
        <v>6.057</v>
      </c>
      <c r="H84" s="23">
        <f t="shared" si="26"/>
        <v>3.0285</v>
      </c>
      <c r="I84" s="24">
        <f t="shared" si="27"/>
        <v>0.2146277035</v>
      </c>
      <c r="J84" s="25">
        <v>0.13</v>
      </c>
      <c r="K84" s="26"/>
      <c r="L84" s="27">
        <f t="shared" si="24"/>
        <v>60.7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  <c r="AA84" s="9"/>
      <c r="AB84" s="9"/>
    </row>
    <row r="85" ht="15.75" customHeight="1" outlineLevel="1">
      <c r="A85" s="14">
        <v>46094.0</v>
      </c>
      <c r="B85" s="17">
        <v>0.1</v>
      </c>
      <c r="C85" s="18">
        <v>0.1</v>
      </c>
      <c r="D85" s="19">
        <v>0.05</v>
      </c>
      <c r="E85" s="20">
        <v>3.0</v>
      </c>
      <c r="F85" s="21">
        <v>1000.0</v>
      </c>
      <c r="G85" s="22">
        <f t="shared" si="25"/>
        <v>6.07</v>
      </c>
      <c r="H85" s="23">
        <f t="shared" si="26"/>
        <v>3.035</v>
      </c>
      <c r="I85" s="24">
        <f t="shared" si="27"/>
        <v>12.76771005</v>
      </c>
      <c r="J85" s="25">
        <v>7.75</v>
      </c>
      <c r="K85" s="26"/>
      <c r="L85" s="27">
        <f t="shared" si="24"/>
        <v>68.45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  <c r="AA85" s="9"/>
      <c r="AB85" s="9"/>
    </row>
    <row r="86" ht="15.75" customHeight="1" outlineLevel="1">
      <c r="A86" s="14"/>
      <c r="B86" s="17"/>
      <c r="C86" s="18"/>
      <c r="D86" s="19"/>
      <c r="E86" s="20"/>
      <c r="F86" s="21"/>
      <c r="G86" s="22"/>
      <c r="H86" s="23"/>
      <c r="I86" s="24"/>
      <c r="J86" s="25"/>
      <c r="K86" s="26"/>
      <c r="L86" s="27">
        <f t="shared" si="24"/>
        <v>68.45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  <c r="AA86" s="9"/>
      <c r="AB86" s="9"/>
    </row>
    <row r="87" ht="15.75" customHeight="1" outlineLevel="1">
      <c r="A87" s="14"/>
      <c r="B87" s="17"/>
      <c r="C87" s="18"/>
      <c r="D87" s="19"/>
      <c r="E87" s="20"/>
      <c r="F87" s="21"/>
      <c r="G87" s="22"/>
      <c r="H87" s="23"/>
      <c r="I87" s="24"/>
      <c r="J87" s="25"/>
      <c r="K87" s="26"/>
      <c r="L87" s="27">
        <f t="shared" si="24"/>
        <v>68.45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  <c r="AA87" s="9"/>
      <c r="AB87" s="9"/>
    </row>
    <row r="88" ht="15.75" customHeight="1" outlineLevel="1">
      <c r="A88" s="14">
        <v>46097.0</v>
      </c>
      <c r="B88" s="17">
        <v>0.1</v>
      </c>
      <c r="C88" s="18">
        <v>0.1</v>
      </c>
      <c r="D88" s="19">
        <v>0.05</v>
      </c>
      <c r="E88" s="20">
        <v>3.0</v>
      </c>
      <c r="F88" s="21">
        <v>1000.0</v>
      </c>
      <c r="G88" s="22">
        <f t="shared" ref="G88:G92" si="28">L87*C88</f>
        <v>6.845</v>
      </c>
      <c r="H88" s="23">
        <f t="shared" ref="H88:H92" si="29">L87*D88</f>
        <v>3.4225</v>
      </c>
      <c r="I88" s="24">
        <f t="shared" ref="I88:I92" si="30">(J88/L87)*100</f>
        <v>14.28780131</v>
      </c>
      <c r="J88" s="25">
        <v>9.78</v>
      </c>
      <c r="K88" s="26"/>
      <c r="L88" s="27">
        <f t="shared" si="24"/>
        <v>78.23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  <c r="AA88" s="9"/>
      <c r="AB88" s="9"/>
    </row>
    <row r="89" ht="15.75" customHeight="1" outlineLevel="1">
      <c r="A89" s="14">
        <v>46098.0</v>
      </c>
      <c r="B89" s="17">
        <v>0.1</v>
      </c>
      <c r="C89" s="18">
        <v>0.1</v>
      </c>
      <c r="D89" s="19">
        <v>0.05</v>
      </c>
      <c r="E89" s="20">
        <v>3.0</v>
      </c>
      <c r="F89" s="21">
        <v>1000.0</v>
      </c>
      <c r="G89" s="22">
        <f t="shared" si="28"/>
        <v>7.823</v>
      </c>
      <c r="H89" s="23">
        <f t="shared" si="29"/>
        <v>3.9115</v>
      </c>
      <c r="I89" s="24">
        <f t="shared" si="30"/>
        <v>0.8947973923</v>
      </c>
      <c r="J89" s="25">
        <v>0.7</v>
      </c>
      <c r="K89" s="26"/>
      <c r="L89" s="27">
        <f t="shared" si="24"/>
        <v>78.93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/>
      <c r="AA89" s="9"/>
      <c r="AB89" s="9"/>
    </row>
    <row r="90" ht="15.75" customHeight="1" outlineLevel="1">
      <c r="A90" s="14">
        <v>46099.0</v>
      </c>
      <c r="B90" s="17">
        <v>0.1</v>
      </c>
      <c r="C90" s="18">
        <v>0.1</v>
      </c>
      <c r="D90" s="19">
        <v>0.05</v>
      </c>
      <c r="E90" s="20">
        <v>3.0</v>
      </c>
      <c r="F90" s="21">
        <v>1000.0</v>
      </c>
      <c r="G90" s="22">
        <f t="shared" si="28"/>
        <v>7.893</v>
      </c>
      <c r="H90" s="23">
        <f t="shared" si="29"/>
        <v>3.9465</v>
      </c>
      <c r="I90" s="24">
        <f t="shared" si="30"/>
        <v>-61.33282656</v>
      </c>
      <c r="J90" s="25">
        <v>-48.41</v>
      </c>
      <c r="K90" s="26"/>
      <c r="L90" s="27">
        <f t="shared" si="24"/>
        <v>30.52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  <c r="AA90" s="9"/>
      <c r="AB90" s="9"/>
    </row>
    <row r="91" ht="15.75" customHeight="1" outlineLevel="1">
      <c r="A91" s="14">
        <v>46100.0</v>
      </c>
      <c r="B91" s="17">
        <v>0.1</v>
      </c>
      <c r="C91" s="18">
        <v>0.1</v>
      </c>
      <c r="D91" s="19">
        <v>0.05</v>
      </c>
      <c r="E91" s="20">
        <v>3.0</v>
      </c>
      <c r="F91" s="21">
        <v>1000.0</v>
      </c>
      <c r="G91" s="22">
        <f t="shared" si="28"/>
        <v>3.052</v>
      </c>
      <c r="H91" s="23">
        <f t="shared" si="29"/>
        <v>1.526</v>
      </c>
      <c r="I91" s="24">
        <f t="shared" si="30"/>
        <v>1.900393185</v>
      </c>
      <c r="J91" s="25">
        <v>0.58</v>
      </c>
      <c r="K91" s="26"/>
      <c r="L91" s="27">
        <f t="shared" si="24"/>
        <v>31.1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  <c r="AA91" s="9"/>
      <c r="AB91" s="9"/>
    </row>
    <row r="92" ht="15.75" customHeight="1" outlineLevel="1">
      <c r="A92" s="14">
        <v>46101.0</v>
      </c>
      <c r="B92" s="17">
        <v>0.1</v>
      </c>
      <c r="C92" s="18">
        <v>0.1</v>
      </c>
      <c r="D92" s="19">
        <v>0.05</v>
      </c>
      <c r="E92" s="20">
        <v>3.0</v>
      </c>
      <c r="F92" s="21">
        <v>1000.0</v>
      </c>
      <c r="G92" s="22">
        <f t="shared" si="28"/>
        <v>3.11</v>
      </c>
      <c r="H92" s="23">
        <f t="shared" si="29"/>
        <v>1.555</v>
      </c>
      <c r="I92" s="24">
        <f t="shared" si="30"/>
        <v>14.50160772</v>
      </c>
      <c r="J92" s="25">
        <v>4.51</v>
      </c>
      <c r="K92" s="26"/>
      <c r="L92" s="27">
        <f t="shared" si="24"/>
        <v>35.61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  <c r="AA92" s="9"/>
      <c r="AB92" s="9"/>
    </row>
    <row r="93" ht="15.75" customHeight="1" outlineLevel="1">
      <c r="A93" s="14"/>
      <c r="B93" s="17"/>
      <c r="C93" s="18"/>
      <c r="D93" s="19"/>
      <c r="E93" s="20"/>
      <c r="F93" s="21"/>
      <c r="G93" s="22"/>
      <c r="H93" s="23"/>
      <c r="I93" s="24"/>
      <c r="J93" s="25"/>
      <c r="K93" s="26"/>
      <c r="L93" s="27">
        <f t="shared" si="24"/>
        <v>35.61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  <c r="AA93" s="9"/>
      <c r="AB93" s="9"/>
    </row>
    <row r="94" ht="15.75" customHeight="1" outlineLevel="1">
      <c r="A94" s="14"/>
      <c r="B94" s="17"/>
      <c r="C94" s="18"/>
      <c r="D94" s="19"/>
      <c r="E94" s="20"/>
      <c r="F94" s="21"/>
      <c r="G94" s="22"/>
      <c r="H94" s="23"/>
      <c r="I94" s="24"/>
      <c r="J94" s="25"/>
      <c r="K94" s="26"/>
      <c r="L94" s="27">
        <f t="shared" si="24"/>
        <v>35.61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"/>
      <c r="AA94" s="9"/>
      <c r="AB94" s="9"/>
    </row>
    <row r="95" ht="15.75" customHeight="1" outlineLevel="1">
      <c r="A95" s="14">
        <v>46104.0</v>
      </c>
      <c r="B95" s="17">
        <v>0.1</v>
      </c>
      <c r="C95" s="18">
        <v>0.1</v>
      </c>
      <c r="D95" s="19">
        <v>0.05</v>
      </c>
      <c r="E95" s="20">
        <v>3.0</v>
      </c>
      <c r="F95" s="21">
        <v>1000.0</v>
      </c>
      <c r="G95" s="22">
        <f t="shared" ref="G95:G99" si="31">L94*C95</f>
        <v>3.561</v>
      </c>
      <c r="H95" s="23">
        <f t="shared" ref="H95:H99" si="32">L94*D95</f>
        <v>1.7805</v>
      </c>
      <c r="I95" s="24">
        <f t="shared" ref="I95:I99" si="33">(J95/L94)*100</f>
        <v>-100</v>
      </c>
      <c r="J95" s="25">
        <v>-35.61</v>
      </c>
      <c r="K95" s="26"/>
      <c r="L95" s="27">
        <f t="shared" si="24"/>
        <v>0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  <c r="AA95" s="9"/>
      <c r="AB95" s="9"/>
    </row>
    <row r="96" ht="15.75" customHeight="1" outlineLevel="1">
      <c r="A96" s="14">
        <v>46105.0</v>
      </c>
      <c r="B96" s="17">
        <v>0.1</v>
      </c>
      <c r="C96" s="18">
        <v>0.1</v>
      </c>
      <c r="D96" s="19">
        <v>0.05</v>
      </c>
      <c r="E96" s="20">
        <v>3.0</v>
      </c>
      <c r="F96" s="21">
        <v>1000.0</v>
      </c>
      <c r="G96" s="22">
        <f t="shared" si="31"/>
        <v>0</v>
      </c>
      <c r="H96" s="23">
        <f t="shared" si="32"/>
        <v>0</v>
      </c>
      <c r="I96" s="24">
        <f t="shared" si="33"/>
        <v>0</v>
      </c>
      <c r="J96" s="25"/>
      <c r="K96" s="26"/>
      <c r="L96" s="27">
        <f t="shared" si="24"/>
        <v>0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/>
      <c r="AA96" s="9"/>
      <c r="AB96" s="9"/>
    </row>
    <row r="97" ht="15.75" customHeight="1" outlineLevel="1">
      <c r="A97" s="14">
        <v>46106.0</v>
      </c>
      <c r="B97" s="17">
        <v>0.1</v>
      </c>
      <c r="C97" s="18">
        <v>0.1</v>
      </c>
      <c r="D97" s="19">
        <v>0.05</v>
      </c>
      <c r="E97" s="20">
        <v>3.0</v>
      </c>
      <c r="F97" s="21">
        <v>1000.0</v>
      </c>
      <c r="G97" s="22">
        <f t="shared" si="31"/>
        <v>0</v>
      </c>
      <c r="H97" s="23">
        <f t="shared" si="32"/>
        <v>0</v>
      </c>
      <c r="I97" s="24">
        <f t="shared" si="33"/>
        <v>0</v>
      </c>
      <c r="J97" s="25"/>
      <c r="K97" s="26"/>
      <c r="L97" s="27">
        <f t="shared" si="24"/>
        <v>0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  <c r="AA97" s="9"/>
      <c r="AB97" s="9"/>
    </row>
    <row r="98" ht="15.75" customHeight="1" outlineLevel="1">
      <c r="A98" s="14">
        <v>46107.0</v>
      </c>
      <c r="B98" s="17">
        <v>0.1</v>
      </c>
      <c r="C98" s="18">
        <v>0.1</v>
      </c>
      <c r="D98" s="19">
        <v>0.05</v>
      </c>
      <c r="E98" s="20">
        <v>3.0</v>
      </c>
      <c r="F98" s="21">
        <v>1000.0</v>
      </c>
      <c r="G98" s="22">
        <f t="shared" si="31"/>
        <v>0</v>
      </c>
      <c r="H98" s="23">
        <f t="shared" si="32"/>
        <v>0</v>
      </c>
      <c r="I98" s="24">
        <f t="shared" si="33"/>
        <v>0</v>
      </c>
      <c r="J98" s="25"/>
      <c r="K98" s="26"/>
      <c r="L98" s="27">
        <f t="shared" si="24"/>
        <v>0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  <c r="AA98" s="9"/>
      <c r="AB98" s="9"/>
    </row>
    <row r="99" ht="15.75" customHeight="1" outlineLevel="1">
      <c r="A99" s="14">
        <v>46108.0</v>
      </c>
      <c r="B99" s="17">
        <v>0.1</v>
      </c>
      <c r="C99" s="18">
        <v>0.1</v>
      </c>
      <c r="D99" s="19">
        <v>0.05</v>
      </c>
      <c r="E99" s="20">
        <v>3.0</v>
      </c>
      <c r="F99" s="21">
        <v>1000.0</v>
      </c>
      <c r="G99" s="22">
        <f t="shared" si="31"/>
        <v>0</v>
      </c>
      <c r="H99" s="23">
        <f t="shared" si="32"/>
        <v>0</v>
      </c>
      <c r="I99" s="24">
        <f t="shared" si="33"/>
        <v>0</v>
      </c>
      <c r="J99" s="25"/>
      <c r="K99" s="26"/>
      <c r="L99" s="27">
        <f t="shared" si="24"/>
        <v>0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  <c r="AA99" s="9"/>
      <c r="AB99" s="9"/>
    </row>
    <row r="100" ht="15.75" customHeight="1" outlineLevel="1">
      <c r="A100" s="14"/>
      <c r="B100" s="17"/>
      <c r="C100" s="18"/>
      <c r="D100" s="19"/>
      <c r="E100" s="20"/>
      <c r="F100" s="21"/>
      <c r="G100" s="22"/>
      <c r="H100" s="23"/>
      <c r="I100" s="24"/>
      <c r="J100" s="25"/>
      <c r="K100" s="26"/>
      <c r="L100" s="27">
        <f t="shared" si="24"/>
        <v>0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  <c r="AA100" s="9"/>
      <c r="AB100" s="9"/>
    </row>
    <row r="101" ht="15.75" customHeight="1" outlineLevel="1">
      <c r="A101" s="14"/>
      <c r="B101" s="17"/>
      <c r="C101" s="18"/>
      <c r="D101" s="19"/>
      <c r="E101" s="20"/>
      <c r="F101" s="21"/>
      <c r="G101" s="22"/>
      <c r="H101" s="23"/>
      <c r="I101" s="24"/>
      <c r="J101" s="25"/>
      <c r="K101" s="26"/>
      <c r="L101" s="27">
        <f t="shared" si="24"/>
        <v>0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  <c r="AA101" s="9"/>
      <c r="AB101" s="9"/>
    </row>
    <row r="102" ht="15.75" customHeight="1" outlineLevel="1">
      <c r="A102" s="14">
        <v>46111.0</v>
      </c>
      <c r="B102" s="17">
        <v>0.1</v>
      </c>
      <c r="C102" s="18">
        <v>0.1</v>
      </c>
      <c r="D102" s="19">
        <v>0.05</v>
      </c>
      <c r="E102" s="20">
        <v>3.0</v>
      </c>
      <c r="F102" s="21">
        <v>1000.0</v>
      </c>
      <c r="G102" s="22">
        <f t="shared" ref="G102:G103" si="34">L101*C102</f>
        <v>0</v>
      </c>
      <c r="H102" s="23">
        <f t="shared" ref="H102:H103" si="35">L101*D102</f>
        <v>0</v>
      </c>
      <c r="I102" s="24">
        <f t="shared" ref="I102:I103" si="36">(J102/L101)*100</f>
        <v>0</v>
      </c>
      <c r="J102" s="25"/>
      <c r="K102" s="26"/>
      <c r="L102" s="27">
        <f t="shared" si="24"/>
        <v>0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  <c r="AA102" s="9"/>
      <c r="AB102" s="9"/>
    </row>
    <row r="103" ht="15.75" customHeight="1" outlineLevel="1">
      <c r="A103" s="14">
        <v>46112.0</v>
      </c>
      <c r="B103" s="17">
        <v>0.1</v>
      </c>
      <c r="C103" s="18">
        <v>0.1</v>
      </c>
      <c r="D103" s="19">
        <v>0.05</v>
      </c>
      <c r="E103" s="20">
        <v>3.0</v>
      </c>
      <c r="F103" s="21">
        <v>1000.0</v>
      </c>
      <c r="G103" s="22">
        <f t="shared" si="34"/>
        <v>0</v>
      </c>
      <c r="H103" s="23">
        <f t="shared" si="35"/>
        <v>0</v>
      </c>
      <c r="I103" s="24">
        <f t="shared" si="36"/>
        <v>0</v>
      </c>
      <c r="J103" s="25"/>
      <c r="K103" s="26"/>
      <c r="L103" s="27">
        <f t="shared" si="24"/>
        <v>0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  <c r="AA103" s="9"/>
      <c r="AB103" s="9"/>
    </row>
    <row r="104" ht="15.75" customHeight="1" outlineLevel="1">
      <c r="A104" s="28" t="s">
        <v>18</v>
      </c>
      <c r="C104" s="29">
        <f>SUM(C73:C103)</f>
        <v>2.2</v>
      </c>
      <c r="D104" s="30"/>
      <c r="E104" s="30"/>
      <c r="F104" s="30"/>
      <c r="G104" s="30"/>
      <c r="H104" s="30"/>
      <c r="I104" s="31">
        <f t="shared" ref="I104:K104" si="37">SUM(I73:I103)</f>
        <v>-50.47555955</v>
      </c>
      <c r="J104" s="32">
        <f t="shared" si="37"/>
        <v>-18.45</v>
      </c>
      <c r="K104" s="30">
        <f t="shared" si="37"/>
        <v>0</v>
      </c>
      <c r="L104" s="32">
        <f>L103</f>
        <v>0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  <c r="AA104" s="9"/>
      <c r="AB104" s="9"/>
    </row>
    <row r="105" ht="15.75" customHeight="1">
      <c r="A105" s="38"/>
      <c r="B105" s="35"/>
      <c r="C105" s="35"/>
      <c r="D105" s="35"/>
      <c r="E105" s="35"/>
      <c r="F105" s="35"/>
      <c r="G105" s="35"/>
      <c r="H105" s="35"/>
      <c r="I105" s="35"/>
      <c r="J105" s="35"/>
      <c r="K105" s="37">
        <v>50.0</v>
      </c>
      <c r="L105" s="35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  <c r="AA105" s="9"/>
      <c r="AB105" s="9"/>
    </row>
    <row r="106" ht="15.75" customHeight="1" collapsed="1">
      <c r="A106" s="1" t="s">
        <v>22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  <c r="AA106" s="9"/>
      <c r="AB106" s="9"/>
    </row>
    <row r="107" ht="15.75" hidden="1" customHeight="1" outlineLevel="1">
      <c r="A107" s="14" t="s">
        <v>6</v>
      </c>
      <c r="B107" s="1" t="s">
        <v>7</v>
      </c>
      <c r="C107" s="1" t="s">
        <v>8</v>
      </c>
      <c r="D107" s="15" t="s">
        <v>9</v>
      </c>
      <c r="E107" s="15" t="s">
        <v>10</v>
      </c>
      <c r="F107" s="15" t="s">
        <v>11</v>
      </c>
      <c r="G107" s="16" t="s">
        <v>12</v>
      </c>
      <c r="H107" s="15" t="s">
        <v>13</v>
      </c>
      <c r="I107" s="1" t="s">
        <v>14</v>
      </c>
      <c r="J107" s="17" t="s">
        <v>15</v>
      </c>
      <c r="K107" s="1" t="s">
        <v>16</v>
      </c>
      <c r="L107" s="1" t="s">
        <v>17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  <c r="AA107" s="9"/>
      <c r="AB107" s="9"/>
    </row>
    <row r="108" ht="15.75" hidden="1" customHeight="1" outlineLevel="1">
      <c r="A108" s="14">
        <v>46113.0</v>
      </c>
      <c r="B108" s="17">
        <v>0.1</v>
      </c>
      <c r="C108" s="18">
        <v>0.1</v>
      </c>
      <c r="D108" s="19">
        <v>0.05</v>
      </c>
      <c r="E108" s="20">
        <v>3.0</v>
      </c>
      <c r="F108" s="21">
        <v>1000.0</v>
      </c>
      <c r="G108" s="22">
        <f>L104*C108</f>
        <v>0</v>
      </c>
      <c r="H108" s="23">
        <f>L104*D108</f>
        <v>0</v>
      </c>
      <c r="I108" s="24">
        <f>(J108/L104)*100</f>
        <v>0</v>
      </c>
      <c r="J108" s="25"/>
      <c r="K108" s="26"/>
      <c r="L108" s="27">
        <f>(L104+J108)-K108</f>
        <v>0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/>
      <c r="AA108" s="9"/>
      <c r="AB108" s="9"/>
    </row>
    <row r="109" ht="15.75" hidden="1" customHeight="1" outlineLevel="1">
      <c r="A109" s="14">
        <v>46114.0</v>
      </c>
      <c r="B109" s="17">
        <v>0.1</v>
      </c>
      <c r="C109" s="18">
        <v>0.1</v>
      </c>
      <c r="D109" s="19">
        <v>0.05</v>
      </c>
      <c r="E109" s="20">
        <v>3.0</v>
      </c>
      <c r="F109" s="21">
        <v>1000.0</v>
      </c>
      <c r="G109" s="22">
        <f t="shared" ref="G109:G110" si="38">L108*C109</f>
        <v>0</v>
      </c>
      <c r="H109" s="23">
        <f t="shared" ref="H109:H110" si="39">L108*D109</f>
        <v>0</v>
      </c>
      <c r="I109" s="24">
        <f t="shared" ref="I109:I110" si="40">(J109/L108)*100</f>
        <v>0</v>
      </c>
      <c r="J109" s="25"/>
      <c r="K109" s="26"/>
      <c r="L109" s="27">
        <f t="shared" ref="L109:L137" si="41">(L108+J109)-K109</f>
        <v>0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  <c r="AA109" s="9"/>
      <c r="AB109" s="9"/>
    </row>
    <row r="110" ht="15.75" hidden="1" customHeight="1" outlineLevel="1">
      <c r="A110" s="14">
        <v>46115.0</v>
      </c>
      <c r="B110" s="17">
        <v>0.1</v>
      </c>
      <c r="C110" s="18">
        <v>0.1</v>
      </c>
      <c r="D110" s="19">
        <v>0.05</v>
      </c>
      <c r="E110" s="20">
        <v>3.0</v>
      </c>
      <c r="F110" s="21">
        <v>1000.0</v>
      </c>
      <c r="G110" s="22">
        <f t="shared" si="38"/>
        <v>0</v>
      </c>
      <c r="H110" s="23">
        <f t="shared" si="39"/>
        <v>0</v>
      </c>
      <c r="I110" s="24">
        <f t="shared" si="40"/>
        <v>0</v>
      </c>
      <c r="J110" s="25"/>
      <c r="K110" s="26"/>
      <c r="L110" s="27">
        <f t="shared" si="41"/>
        <v>0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  <c r="AA110" s="9"/>
      <c r="AB110" s="9"/>
    </row>
    <row r="111" ht="15.75" hidden="1" customHeight="1" outlineLevel="1">
      <c r="A111" s="14"/>
      <c r="B111" s="17"/>
      <c r="C111" s="18"/>
      <c r="D111" s="19"/>
      <c r="E111" s="20"/>
      <c r="F111" s="21"/>
      <c r="G111" s="22"/>
      <c r="H111" s="23"/>
      <c r="I111" s="24"/>
      <c r="J111" s="25"/>
      <c r="K111" s="26"/>
      <c r="L111" s="27">
        <f t="shared" si="41"/>
        <v>0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  <c r="AA111" s="9"/>
      <c r="AB111" s="9"/>
    </row>
    <row r="112" ht="15.75" hidden="1" customHeight="1" outlineLevel="1">
      <c r="A112" s="14"/>
      <c r="B112" s="17"/>
      <c r="C112" s="18"/>
      <c r="D112" s="19"/>
      <c r="E112" s="20"/>
      <c r="F112" s="21"/>
      <c r="G112" s="22"/>
      <c r="H112" s="23"/>
      <c r="I112" s="24"/>
      <c r="J112" s="25"/>
      <c r="K112" s="26"/>
      <c r="L112" s="27">
        <f t="shared" si="41"/>
        <v>0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  <c r="AA112" s="9"/>
      <c r="AB112" s="9"/>
    </row>
    <row r="113" ht="15.75" hidden="1" customHeight="1" outlineLevel="1">
      <c r="A113" s="14">
        <v>46118.0</v>
      </c>
      <c r="B113" s="17">
        <v>0.1</v>
      </c>
      <c r="C113" s="18">
        <v>0.1</v>
      </c>
      <c r="D113" s="19">
        <v>0.05</v>
      </c>
      <c r="E113" s="20">
        <v>3.0</v>
      </c>
      <c r="F113" s="21">
        <v>1000.0</v>
      </c>
      <c r="G113" s="22">
        <f t="shared" ref="G113:G117" si="42">L112*C113</f>
        <v>0</v>
      </c>
      <c r="H113" s="23">
        <f t="shared" ref="H113:H117" si="43">L112*D113</f>
        <v>0</v>
      </c>
      <c r="I113" s="24">
        <f t="shared" ref="I113:I117" si="44">(J113/L112)*100</f>
        <v>0</v>
      </c>
      <c r="J113" s="25"/>
      <c r="K113" s="26"/>
      <c r="L113" s="27">
        <f t="shared" si="41"/>
        <v>0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  <c r="AA113" s="9"/>
      <c r="AB113" s="9"/>
    </row>
    <row r="114" ht="15.75" hidden="1" customHeight="1" outlineLevel="1">
      <c r="A114" s="14">
        <v>46119.0</v>
      </c>
      <c r="B114" s="17">
        <v>0.1</v>
      </c>
      <c r="C114" s="18">
        <v>0.1</v>
      </c>
      <c r="D114" s="19">
        <v>0.05</v>
      </c>
      <c r="E114" s="20">
        <v>3.0</v>
      </c>
      <c r="F114" s="21">
        <v>1000.0</v>
      </c>
      <c r="G114" s="22">
        <f t="shared" si="42"/>
        <v>0</v>
      </c>
      <c r="H114" s="23">
        <f t="shared" si="43"/>
        <v>0</v>
      </c>
      <c r="I114" s="24">
        <f t="shared" si="44"/>
        <v>0</v>
      </c>
      <c r="J114" s="25"/>
      <c r="K114" s="26"/>
      <c r="L114" s="27">
        <f t="shared" si="41"/>
        <v>0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/>
      <c r="AA114" s="9"/>
      <c r="AB114" s="9"/>
    </row>
    <row r="115" ht="15.75" hidden="1" customHeight="1" outlineLevel="1">
      <c r="A115" s="14">
        <v>46120.0</v>
      </c>
      <c r="B115" s="17">
        <v>0.1</v>
      </c>
      <c r="C115" s="18">
        <v>0.1</v>
      </c>
      <c r="D115" s="19">
        <v>0.05</v>
      </c>
      <c r="E115" s="20">
        <v>3.0</v>
      </c>
      <c r="F115" s="21">
        <v>1000.0</v>
      </c>
      <c r="G115" s="22">
        <f t="shared" si="42"/>
        <v>0</v>
      </c>
      <c r="H115" s="23">
        <f t="shared" si="43"/>
        <v>0</v>
      </c>
      <c r="I115" s="24">
        <f t="shared" si="44"/>
        <v>0</v>
      </c>
      <c r="J115" s="25"/>
      <c r="K115" s="26"/>
      <c r="L115" s="27">
        <f t="shared" si="41"/>
        <v>0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"/>
      <c r="AA115" s="9"/>
      <c r="AB115" s="9"/>
    </row>
    <row r="116" ht="15.75" hidden="1" customHeight="1" outlineLevel="1">
      <c r="A116" s="14">
        <v>46121.0</v>
      </c>
      <c r="B116" s="17">
        <v>0.1</v>
      </c>
      <c r="C116" s="18">
        <v>0.1</v>
      </c>
      <c r="D116" s="19">
        <v>0.05</v>
      </c>
      <c r="E116" s="20">
        <v>3.0</v>
      </c>
      <c r="F116" s="21">
        <v>1000.0</v>
      </c>
      <c r="G116" s="22">
        <f t="shared" si="42"/>
        <v>0</v>
      </c>
      <c r="H116" s="23">
        <f t="shared" si="43"/>
        <v>0</v>
      </c>
      <c r="I116" s="24">
        <f t="shared" si="44"/>
        <v>0</v>
      </c>
      <c r="J116" s="25"/>
      <c r="K116" s="26"/>
      <c r="L116" s="27">
        <f t="shared" si="41"/>
        <v>0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  <c r="AA116" s="9"/>
      <c r="AB116" s="9"/>
    </row>
    <row r="117" ht="15.75" hidden="1" customHeight="1" outlineLevel="1">
      <c r="A117" s="14">
        <v>46122.0</v>
      </c>
      <c r="B117" s="17">
        <v>0.1</v>
      </c>
      <c r="C117" s="18">
        <v>0.1</v>
      </c>
      <c r="D117" s="19">
        <v>0.05</v>
      </c>
      <c r="E117" s="20">
        <v>3.0</v>
      </c>
      <c r="F117" s="21">
        <v>1000.0</v>
      </c>
      <c r="G117" s="22">
        <f t="shared" si="42"/>
        <v>0</v>
      </c>
      <c r="H117" s="23">
        <f t="shared" si="43"/>
        <v>0</v>
      </c>
      <c r="I117" s="24">
        <f t="shared" si="44"/>
        <v>0</v>
      </c>
      <c r="J117" s="25"/>
      <c r="K117" s="26"/>
      <c r="L117" s="27">
        <f t="shared" si="41"/>
        <v>0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  <c r="AA117" s="9"/>
      <c r="AB117" s="9"/>
    </row>
    <row r="118" ht="15.75" hidden="1" customHeight="1" outlineLevel="1">
      <c r="A118" s="14"/>
      <c r="B118" s="17"/>
      <c r="C118" s="18"/>
      <c r="D118" s="19"/>
      <c r="E118" s="20"/>
      <c r="F118" s="21"/>
      <c r="G118" s="22"/>
      <c r="H118" s="23"/>
      <c r="I118" s="24"/>
      <c r="J118" s="25"/>
      <c r="K118" s="26"/>
      <c r="L118" s="27">
        <f t="shared" si="41"/>
        <v>0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  <c r="AA118" s="9"/>
      <c r="AB118" s="9"/>
    </row>
    <row r="119" ht="15.75" hidden="1" customHeight="1" outlineLevel="1">
      <c r="A119" s="14"/>
      <c r="B119" s="17"/>
      <c r="C119" s="18"/>
      <c r="D119" s="19"/>
      <c r="E119" s="20"/>
      <c r="F119" s="21"/>
      <c r="G119" s="22"/>
      <c r="H119" s="23"/>
      <c r="I119" s="24"/>
      <c r="J119" s="25"/>
      <c r="K119" s="26"/>
      <c r="L119" s="27">
        <f t="shared" si="41"/>
        <v>0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  <c r="AA119" s="9"/>
      <c r="AB119" s="9"/>
    </row>
    <row r="120" ht="15.75" hidden="1" customHeight="1" outlineLevel="1">
      <c r="A120" s="14">
        <v>46125.0</v>
      </c>
      <c r="B120" s="17">
        <v>0.1</v>
      </c>
      <c r="C120" s="18">
        <v>0.1</v>
      </c>
      <c r="D120" s="19">
        <v>0.05</v>
      </c>
      <c r="E120" s="20">
        <v>3.0</v>
      </c>
      <c r="F120" s="21">
        <v>1000.0</v>
      </c>
      <c r="G120" s="22">
        <f t="shared" ref="G120:G124" si="45">L119*C120</f>
        <v>0</v>
      </c>
      <c r="H120" s="23">
        <f t="shared" ref="H120:H124" si="46">L119*D120</f>
        <v>0</v>
      </c>
      <c r="I120" s="24">
        <f t="shared" ref="I120:I124" si="47">(J120/L119)*100</f>
        <v>0</v>
      </c>
      <c r="J120" s="25"/>
      <c r="K120" s="26"/>
      <c r="L120" s="27">
        <f t="shared" si="41"/>
        <v>0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  <c r="AA120" s="9"/>
      <c r="AB120" s="9"/>
    </row>
    <row r="121" ht="15.75" hidden="1" customHeight="1" outlineLevel="1">
      <c r="A121" s="14">
        <v>46126.0</v>
      </c>
      <c r="B121" s="17">
        <v>0.1</v>
      </c>
      <c r="C121" s="18">
        <v>0.1</v>
      </c>
      <c r="D121" s="19">
        <v>0.05</v>
      </c>
      <c r="E121" s="20">
        <v>3.0</v>
      </c>
      <c r="F121" s="21">
        <v>1000.0</v>
      </c>
      <c r="G121" s="22">
        <f t="shared" si="45"/>
        <v>0</v>
      </c>
      <c r="H121" s="23">
        <f t="shared" si="46"/>
        <v>0</v>
      </c>
      <c r="I121" s="24">
        <f t="shared" si="47"/>
        <v>0</v>
      </c>
      <c r="J121" s="25"/>
      <c r="K121" s="26"/>
      <c r="L121" s="27">
        <f t="shared" si="41"/>
        <v>0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"/>
      <c r="AA121" s="9"/>
      <c r="AB121" s="9"/>
    </row>
    <row r="122" ht="15.75" hidden="1" customHeight="1" outlineLevel="1">
      <c r="A122" s="14">
        <v>46127.0</v>
      </c>
      <c r="B122" s="17">
        <v>0.1</v>
      </c>
      <c r="C122" s="18">
        <v>0.1</v>
      </c>
      <c r="D122" s="19">
        <v>0.05</v>
      </c>
      <c r="E122" s="20">
        <v>3.0</v>
      </c>
      <c r="F122" s="21">
        <v>1000.0</v>
      </c>
      <c r="G122" s="22">
        <f t="shared" si="45"/>
        <v>0</v>
      </c>
      <c r="H122" s="23">
        <f t="shared" si="46"/>
        <v>0</v>
      </c>
      <c r="I122" s="24">
        <f t="shared" si="47"/>
        <v>0</v>
      </c>
      <c r="J122" s="25"/>
      <c r="K122" s="26"/>
      <c r="L122" s="27">
        <f t="shared" si="41"/>
        <v>0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"/>
      <c r="AA122" s="9"/>
      <c r="AB122" s="9"/>
    </row>
    <row r="123" ht="15.75" hidden="1" customHeight="1" outlineLevel="1">
      <c r="A123" s="14">
        <v>46128.0</v>
      </c>
      <c r="B123" s="17">
        <v>0.1</v>
      </c>
      <c r="C123" s="18">
        <v>0.1</v>
      </c>
      <c r="D123" s="19">
        <v>0.05</v>
      </c>
      <c r="E123" s="20">
        <v>3.0</v>
      </c>
      <c r="F123" s="21">
        <v>1000.0</v>
      </c>
      <c r="G123" s="22">
        <f t="shared" si="45"/>
        <v>0</v>
      </c>
      <c r="H123" s="23">
        <f t="shared" si="46"/>
        <v>0</v>
      </c>
      <c r="I123" s="24">
        <f t="shared" si="47"/>
        <v>0</v>
      </c>
      <c r="J123" s="25"/>
      <c r="K123" s="26"/>
      <c r="L123" s="27">
        <f t="shared" si="41"/>
        <v>0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  <c r="AA123" s="9"/>
      <c r="AB123" s="9"/>
    </row>
    <row r="124" ht="15.75" hidden="1" customHeight="1" outlineLevel="1">
      <c r="A124" s="14">
        <v>46129.0</v>
      </c>
      <c r="B124" s="17">
        <v>0.1</v>
      </c>
      <c r="C124" s="18">
        <v>0.1</v>
      </c>
      <c r="D124" s="19">
        <v>0.05</v>
      </c>
      <c r="E124" s="20">
        <v>3.0</v>
      </c>
      <c r="F124" s="21">
        <v>1000.0</v>
      </c>
      <c r="G124" s="22">
        <f t="shared" si="45"/>
        <v>0</v>
      </c>
      <c r="H124" s="23">
        <f t="shared" si="46"/>
        <v>0</v>
      </c>
      <c r="I124" s="24">
        <f t="shared" si="47"/>
        <v>0</v>
      </c>
      <c r="J124" s="25"/>
      <c r="K124" s="26"/>
      <c r="L124" s="27">
        <f t="shared" si="41"/>
        <v>0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  <c r="AA124" s="9"/>
      <c r="AB124" s="9"/>
    </row>
    <row r="125" ht="15.75" hidden="1" customHeight="1" outlineLevel="1">
      <c r="A125" s="14"/>
      <c r="B125" s="17"/>
      <c r="C125" s="18"/>
      <c r="D125" s="19"/>
      <c r="E125" s="20"/>
      <c r="F125" s="21"/>
      <c r="G125" s="22"/>
      <c r="H125" s="23"/>
      <c r="I125" s="24"/>
      <c r="J125" s="25"/>
      <c r="K125" s="26"/>
      <c r="L125" s="27">
        <f t="shared" si="41"/>
        <v>0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/>
      <c r="AA125" s="9"/>
      <c r="AB125" s="9"/>
    </row>
    <row r="126" ht="15.75" hidden="1" customHeight="1" outlineLevel="1">
      <c r="A126" s="14"/>
      <c r="B126" s="17"/>
      <c r="C126" s="18"/>
      <c r="D126" s="19"/>
      <c r="E126" s="20"/>
      <c r="F126" s="21"/>
      <c r="G126" s="22"/>
      <c r="H126" s="23"/>
      <c r="I126" s="24"/>
      <c r="J126" s="25"/>
      <c r="K126" s="26"/>
      <c r="L126" s="27">
        <f t="shared" si="41"/>
        <v>0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/>
      <c r="AA126" s="9"/>
      <c r="AB126" s="9"/>
    </row>
    <row r="127" ht="15.75" hidden="1" customHeight="1" outlineLevel="1">
      <c r="A127" s="14">
        <v>46132.0</v>
      </c>
      <c r="B127" s="17">
        <v>0.1</v>
      </c>
      <c r="C127" s="18">
        <v>0.1</v>
      </c>
      <c r="D127" s="19">
        <v>0.05</v>
      </c>
      <c r="E127" s="20">
        <v>3.0</v>
      </c>
      <c r="F127" s="21">
        <v>1000.0</v>
      </c>
      <c r="G127" s="22">
        <f t="shared" ref="G127:G131" si="48">L126*C127</f>
        <v>0</v>
      </c>
      <c r="H127" s="23">
        <f t="shared" ref="H127:H131" si="49">L126*D127</f>
        <v>0</v>
      </c>
      <c r="I127" s="24">
        <f t="shared" ref="I127:I131" si="50">(J127/L126)*100</f>
        <v>0</v>
      </c>
      <c r="J127" s="25"/>
      <c r="K127" s="26"/>
      <c r="L127" s="27">
        <f t="shared" si="41"/>
        <v>0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  <c r="AA127" s="9"/>
      <c r="AB127" s="9"/>
    </row>
    <row r="128" ht="15.75" hidden="1" customHeight="1" outlineLevel="1">
      <c r="A128" s="14">
        <v>46133.0</v>
      </c>
      <c r="B128" s="17">
        <v>0.1</v>
      </c>
      <c r="C128" s="18">
        <v>0.1</v>
      </c>
      <c r="D128" s="19">
        <v>0.05</v>
      </c>
      <c r="E128" s="20">
        <v>3.0</v>
      </c>
      <c r="F128" s="21">
        <v>1000.0</v>
      </c>
      <c r="G128" s="22">
        <f t="shared" si="48"/>
        <v>0</v>
      </c>
      <c r="H128" s="23">
        <f t="shared" si="49"/>
        <v>0</v>
      </c>
      <c r="I128" s="24">
        <f t="shared" si="50"/>
        <v>0</v>
      </c>
      <c r="J128" s="25"/>
      <c r="K128" s="26"/>
      <c r="L128" s="27">
        <f t="shared" si="41"/>
        <v>0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"/>
      <c r="AA128" s="9"/>
      <c r="AB128" s="9"/>
    </row>
    <row r="129" ht="15.75" hidden="1" customHeight="1" outlineLevel="1">
      <c r="A129" s="14">
        <v>46134.0</v>
      </c>
      <c r="B129" s="17">
        <v>0.1</v>
      </c>
      <c r="C129" s="18">
        <v>0.1</v>
      </c>
      <c r="D129" s="19">
        <v>0.05</v>
      </c>
      <c r="E129" s="20">
        <v>3.0</v>
      </c>
      <c r="F129" s="21">
        <v>1000.0</v>
      </c>
      <c r="G129" s="22">
        <f t="shared" si="48"/>
        <v>0</v>
      </c>
      <c r="H129" s="23">
        <f t="shared" si="49"/>
        <v>0</v>
      </c>
      <c r="I129" s="24">
        <f t="shared" si="50"/>
        <v>0</v>
      </c>
      <c r="J129" s="25"/>
      <c r="K129" s="26"/>
      <c r="L129" s="27">
        <f t="shared" si="41"/>
        <v>0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"/>
      <c r="AA129" s="9"/>
      <c r="AB129" s="9"/>
    </row>
    <row r="130" ht="15.75" hidden="1" customHeight="1" outlineLevel="1">
      <c r="A130" s="14">
        <v>46135.0</v>
      </c>
      <c r="B130" s="17">
        <v>0.1</v>
      </c>
      <c r="C130" s="18">
        <v>0.1</v>
      </c>
      <c r="D130" s="19">
        <v>0.05</v>
      </c>
      <c r="E130" s="20">
        <v>3.0</v>
      </c>
      <c r="F130" s="21">
        <v>1000.0</v>
      </c>
      <c r="G130" s="22">
        <f t="shared" si="48"/>
        <v>0</v>
      </c>
      <c r="H130" s="23">
        <f t="shared" si="49"/>
        <v>0</v>
      </c>
      <c r="I130" s="24">
        <f t="shared" si="50"/>
        <v>0</v>
      </c>
      <c r="J130" s="25"/>
      <c r="K130" s="26"/>
      <c r="L130" s="27">
        <f t="shared" si="41"/>
        <v>0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  <c r="AA130" s="9"/>
      <c r="AB130" s="9"/>
    </row>
    <row r="131" ht="15.75" hidden="1" customHeight="1" outlineLevel="1">
      <c r="A131" s="14">
        <v>46136.0</v>
      </c>
      <c r="B131" s="17">
        <v>0.1</v>
      </c>
      <c r="C131" s="18">
        <v>0.1</v>
      </c>
      <c r="D131" s="19">
        <v>0.05</v>
      </c>
      <c r="E131" s="20">
        <v>3.0</v>
      </c>
      <c r="F131" s="21">
        <v>1000.0</v>
      </c>
      <c r="G131" s="22">
        <f t="shared" si="48"/>
        <v>0</v>
      </c>
      <c r="H131" s="23">
        <f t="shared" si="49"/>
        <v>0</v>
      </c>
      <c r="I131" s="24">
        <f t="shared" si="50"/>
        <v>0</v>
      </c>
      <c r="J131" s="25"/>
      <c r="K131" s="26"/>
      <c r="L131" s="27">
        <f t="shared" si="41"/>
        <v>0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  <c r="AA131" s="9"/>
      <c r="AB131" s="9"/>
    </row>
    <row r="132" ht="15.75" hidden="1" customHeight="1" outlineLevel="1">
      <c r="A132" s="14"/>
      <c r="B132" s="17"/>
      <c r="C132" s="18"/>
      <c r="D132" s="19"/>
      <c r="E132" s="20"/>
      <c r="F132" s="21"/>
      <c r="G132" s="22"/>
      <c r="H132" s="23"/>
      <c r="I132" s="24"/>
      <c r="J132" s="25"/>
      <c r="K132" s="26"/>
      <c r="L132" s="27">
        <f t="shared" si="41"/>
        <v>0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/>
      <c r="AA132" s="9"/>
      <c r="AB132" s="9"/>
    </row>
    <row r="133" ht="15.75" hidden="1" customHeight="1" outlineLevel="1">
      <c r="A133" s="14"/>
      <c r="B133" s="17"/>
      <c r="C133" s="18"/>
      <c r="D133" s="19"/>
      <c r="E133" s="20"/>
      <c r="F133" s="21"/>
      <c r="G133" s="22"/>
      <c r="H133" s="23"/>
      <c r="I133" s="24"/>
      <c r="J133" s="25"/>
      <c r="K133" s="26"/>
      <c r="L133" s="27">
        <f t="shared" si="41"/>
        <v>0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/>
      <c r="AA133" s="9"/>
      <c r="AB133" s="9"/>
    </row>
    <row r="134" ht="15.75" hidden="1" customHeight="1" outlineLevel="1">
      <c r="A134" s="14">
        <v>46139.0</v>
      </c>
      <c r="B134" s="17">
        <v>0.1</v>
      </c>
      <c r="C134" s="18">
        <v>0.1</v>
      </c>
      <c r="D134" s="19">
        <v>0.05</v>
      </c>
      <c r="E134" s="20">
        <v>3.0</v>
      </c>
      <c r="F134" s="21">
        <v>1000.0</v>
      </c>
      <c r="G134" s="22">
        <f t="shared" ref="G134:G137" si="51">L133*C134</f>
        <v>0</v>
      </c>
      <c r="H134" s="23">
        <f t="shared" ref="H134:H137" si="52">L133*D134</f>
        <v>0</v>
      </c>
      <c r="I134" s="24">
        <f t="shared" ref="I134:I137" si="53">(J134/L133)*100</f>
        <v>0</v>
      </c>
      <c r="J134" s="25"/>
      <c r="K134" s="26"/>
      <c r="L134" s="27">
        <f t="shared" si="41"/>
        <v>0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/>
      <c r="AA134" s="9"/>
      <c r="AB134" s="9"/>
    </row>
    <row r="135" ht="15.75" hidden="1" customHeight="1" outlineLevel="1">
      <c r="A135" s="14">
        <v>46140.0</v>
      </c>
      <c r="B135" s="17">
        <v>0.1</v>
      </c>
      <c r="C135" s="18">
        <v>0.1</v>
      </c>
      <c r="D135" s="19">
        <v>0.05</v>
      </c>
      <c r="E135" s="20">
        <v>3.0</v>
      </c>
      <c r="F135" s="21">
        <v>1000.0</v>
      </c>
      <c r="G135" s="22">
        <f t="shared" si="51"/>
        <v>0</v>
      </c>
      <c r="H135" s="23">
        <f t="shared" si="52"/>
        <v>0</v>
      </c>
      <c r="I135" s="24">
        <f t="shared" si="53"/>
        <v>0</v>
      </c>
      <c r="J135" s="25"/>
      <c r="K135" s="26"/>
      <c r="L135" s="27">
        <f t="shared" si="41"/>
        <v>0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/>
      <c r="AA135" s="9"/>
      <c r="AB135" s="9"/>
    </row>
    <row r="136" ht="15.75" hidden="1" customHeight="1" outlineLevel="1">
      <c r="A136" s="14">
        <v>46141.0</v>
      </c>
      <c r="B136" s="17">
        <v>0.1</v>
      </c>
      <c r="C136" s="18">
        <v>0.1</v>
      </c>
      <c r="D136" s="19">
        <v>0.05</v>
      </c>
      <c r="E136" s="20">
        <v>3.0</v>
      </c>
      <c r="F136" s="21">
        <v>1000.0</v>
      </c>
      <c r="G136" s="22">
        <f t="shared" si="51"/>
        <v>0</v>
      </c>
      <c r="H136" s="23">
        <f t="shared" si="52"/>
        <v>0</v>
      </c>
      <c r="I136" s="24">
        <f t="shared" si="53"/>
        <v>0</v>
      </c>
      <c r="J136" s="25"/>
      <c r="K136" s="26"/>
      <c r="L136" s="27">
        <f t="shared" si="41"/>
        <v>0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"/>
      <c r="AA136" s="9"/>
      <c r="AB136" s="9"/>
    </row>
    <row r="137" ht="15.75" hidden="1" customHeight="1" outlineLevel="1">
      <c r="A137" s="14">
        <v>46142.0</v>
      </c>
      <c r="B137" s="17">
        <v>0.1</v>
      </c>
      <c r="C137" s="18">
        <v>0.1</v>
      </c>
      <c r="D137" s="19">
        <v>0.05</v>
      </c>
      <c r="E137" s="20">
        <v>3.0</v>
      </c>
      <c r="F137" s="21">
        <v>1000.0</v>
      </c>
      <c r="G137" s="22">
        <f t="shared" si="51"/>
        <v>0</v>
      </c>
      <c r="H137" s="23">
        <f t="shared" si="52"/>
        <v>0</v>
      </c>
      <c r="I137" s="24">
        <f t="shared" si="53"/>
        <v>0</v>
      </c>
      <c r="J137" s="25"/>
      <c r="K137" s="26"/>
      <c r="L137" s="27">
        <f t="shared" si="41"/>
        <v>0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  <c r="AA137" s="9"/>
      <c r="AB137" s="9"/>
    </row>
    <row r="138" ht="15.75" hidden="1" customHeight="1" outlineLevel="1">
      <c r="A138" s="28" t="s">
        <v>18</v>
      </c>
      <c r="C138" s="29">
        <f>SUM(C108:C137)</f>
        <v>2.2</v>
      </c>
      <c r="D138" s="30"/>
      <c r="E138" s="30"/>
      <c r="F138" s="30"/>
      <c r="G138" s="30"/>
      <c r="H138" s="30"/>
      <c r="I138" s="31">
        <f t="shared" ref="I138:K138" si="54">SUM(I108:I137)</f>
        <v>0</v>
      </c>
      <c r="J138" s="32">
        <f t="shared" si="54"/>
        <v>0</v>
      </c>
      <c r="K138" s="30">
        <f t="shared" si="54"/>
        <v>0</v>
      </c>
      <c r="L138" s="32">
        <f>L137</f>
        <v>0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  <c r="AA138" s="9"/>
      <c r="AB138" s="9"/>
    </row>
    <row r="139" ht="15.75" customHeight="1">
      <c r="A139" s="38"/>
      <c r="B139" s="35"/>
      <c r="C139" s="35"/>
      <c r="D139" s="35"/>
      <c r="E139" s="35"/>
      <c r="F139" s="35"/>
      <c r="G139" s="35"/>
      <c r="H139" s="35"/>
      <c r="I139" s="35"/>
      <c r="J139" s="35"/>
      <c r="K139" s="37">
        <f>SUM(K108:K137)</f>
        <v>0</v>
      </c>
      <c r="L139" s="35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  <c r="AA139" s="9"/>
      <c r="AB139" s="9"/>
    </row>
    <row r="140" ht="15.75" customHeight="1" collapsed="1">
      <c r="A140" s="1" t="s">
        <v>23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  <c r="AA140" s="9"/>
      <c r="AB140" s="9"/>
    </row>
    <row r="141" ht="15.75" hidden="1" customHeight="1" outlineLevel="1">
      <c r="A141" s="14" t="s">
        <v>6</v>
      </c>
      <c r="B141" s="1" t="s">
        <v>7</v>
      </c>
      <c r="C141" s="1" t="s">
        <v>8</v>
      </c>
      <c r="D141" s="15" t="s">
        <v>9</v>
      </c>
      <c r="E141" s="15" t="s">
        <v>10</v>
      </c>
      <c r="F141" s="15" t="s">
        <v>11</v>
      </c>
      <c r="G141" s="16" t="s">
        <v>12</v>
      </c>
      <c r="H141" s="15" t="s">
        <v>13</v>
      </c>
      <c r="I141" s="1" t="s">
        <v>14</v>
      </c>
      <c r="J141" s="17" t="s">
        <v>15</v>
      </c>
      <c r="K141" s="1" t="s">
        <v>16</v>
      </c>
      <c r="L141" s="1" t="s">
        <v>17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  <c r="AA141" s="9"/>
      <c r="AB141" s="9"/>
    </row>
    <row r="142" ht="15.75" hidden="1" customHeight="1" outlineLevel="1">
      <c r="A142" s="14">
        <v>46143.0</v>
      </c>
      <c r="B142" s="17">
        <v>0.1</v>
      </c>
      <c r="C142" s="18">
        <v>0.1</v>
      </c>
      <c r="D142" s="19">
        <v>0.05</v>
      </c>
      <c r="E142" s="20">
        <v>3.0</v>
      </c>
      <c r="F142" s="21">
        <v>1000.0</v>
      </c>
      <c r="G142" s="22">
        <f>L138*C142</f>
        <v>0</v>
      </c>
      <c r="H142" s="23">
        <f>L138*D142</f>
        <v>0</v>
      </c>
      <c r="I142" s="24">
        <f>(J142/L138)*100</f>
        <v>0</v>
      </c>
      <c r="J142" s="25"/>
      <c r="K142" s="26"/>
      <c r="L142" s="27">
        <f>(L138+J142)-K142</f>
        <v>0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/>
      <c r="AA142" s="9"/>
      <c r="AB142" s="9"/>
    </row>
    <row r="143" ht="15.75" hidden="1" customHeight="1" outlineLevel="1">
      <c r="A143" s="14">
        <v>46144.0</v>
      </c>
      <c r="B143" s="17">
        <v>0.1</v>
      </c>
      <c r="C143" s="18">
        <v>0.1</v>
      </c>
      <c r="D143" s="19">
        <v>0.05</v>
      </c>
      <c r="E143" s="20">
        <v>3.0</v>
      </c>
      <c r="F143" s="21">
        <v>1000.0</v>
      </c>
      <c r="G143" s="22">
        <f t="shared" ref="G143:G172" si="55">L142*C143</f>
        <v>0</v>
      </c>
      <c r="H143" s="23">
        <f t="shared" ref="H143:H172" si="56">L142*D143</f>
        <v>0</v>
      </c>
      <c r="I143" s="24">
        <f t="shared" ref="I143:I172" si="57">(J143/L142)*100</f>
        <v>0</v>
      </c>
      <c r="J143" s="25"/>
      <c r="K143" s="26"/>
      <c r="L143" s="27">
        <f t="shared" ref="L143:L172" si="58">(L142+J143)-K143</f>
        <v>0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"/>
      <c r="AA143" s="9"/>
      <c r="AB143" s="9"/>
    </row>
    <row r="144" ht="15.75" hidden="1" customHeight="1" outlineLevel="1">
      <c r="A144" s="14">
        <v>46145.0</v>
      </c>
      <c r="B144" s="17">
        <v>0.1</v>
      </c>
      <c r="C144" s="18">
        <v>0.1</v>
      </c>
      <c r="D144" s="19">
        <v>0.05</v>
      </c>
      <c r="E144" s="20">
        <v>3.0</v>
      </c>
      <c r="F144" s="21">
        <v>1000.0</v>
      </c>
      <c r="G144" s="22">
        <f t="shared" si="55"/>
        <v>0</v>
      </c>
      <c r="H144" s="23">
        <f t="shared" si="56"/>
        <v>0</v>
      </c>
      <c r="I144" s="24">
        <f t="shared" si="57"/>
        <v>0</v>
      </c>
      <c r="J144" s="25"/>
      <c r="K144" s="26"/>
      <c r="L144" s="27">
        <f t="shared" si="58"/>
        <v>0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  <c r="AA144" s="9"/>
      <c r="AB144" s="9"/>
    </row>
    <row r="145" ht="15.75" hidden="1" customHeight="1" outlineLevel="1">
      <c r="A145" s="14">
        <v>46146.0</v>
      </c>
      <c r="B145" s="17">
        <v>0.1</v>
      </c>
      <c r="C145" s="18">
        <v>0.1</v>
      </c>
      <c r="D145" s="19">
        <v>0.05</v>
      </c>
      <c r="E145" s="20">
        <v>3.0</v>
      </c>
      <c r="F145" s="21">
        <v>1000.0</v>
      </c>
      <c r="G145" s="22">
        <f t="shared" si="55"/>
        <v>0</v>
      </c>
      <c r="H145" s="23">
        <f t="shared" si="56"/>
        <v>0</v>
      </c>
      <c r="I145" s="24">
        <f t="shared" si="57"/>
        <v>0</v>
      </c>
      <c r="J145" s="25"/>
      <c r="K145" s="26"/>
      <c r="L145" s="27">
        <f t="shared" si="58"/>
        <v>0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  <c r="AA145" s="9"/>
      <c r="AB145" s="9"/>
    </row>
    <row r="146" ht="15.75" hidden="1" customHeight="1" outlineLevel="1">
      <c r="A146" s="14">
        <v>46147.0</v>
      </c>
      <c r="B146" s="17">
        <v>0.1</v>
      </c>
      <c r="C146" s="18">
        <v>0.1</v>
      </c>
      <c r="D146" s="19">
        <v>0.05</v>
      </c>
      <c r="E146" s="20">
        <v>3.0</v>
      </c>
      <c r="F146" s="21">
        <v>1000.0</v>
      </c>
      <c r="G146" s="22">
        <f t="shared" si="55"/>
        <v>0</v>
      </c>
      <c r="H146" s="23">
        <f t="shared" si="56"/>
        <v>0</v>
      </c>
      <c r="I146" s="24">
        <f t="shared" si="57"/>
        <v>0</v>
      </c>
      <c r="J146" s="25"/>
      <c r="K146" s="26"/>
      <c r="L146" s="27">
        <f t="shared" si="58"/>
        <v>0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  <c r="AA146" s="9"/>
      <c r="AB146" s="9"/>
    </row>
    <row r="147" ht="15.75" hidden="1" customHeight="1" outlineLevel="1">
      <c r="A147" s="14">
        <v>46148.0</v>
      </c>
      <c r="B147" s="17">
        <v>0.1</v>
      </c>
      <c r="C147" s="18">
        <v>0.1</v>
      </c>
      <c r="D147" s="19">
        <v>0.05</v>
      </c>
      <c r="E147" s="20">
        <v>3.0</v>
      </c>
      <c r="F147" s="21">
        <v>1000.0</v>
      </c>
      <c r="G147" s="22">
        <f t="shared" si="55"/>
        <v>0</v>
      </c>
      <c r="H147" s="23">
        <f t="shared" si="56"/>
        <v>0</v>
      </c>
      <c r="I147" s="24">
        <f t="shared" si="57"/>
        <v>0</v>
      </c>
      <c r="J147" s="25"/>
      <c r="K147" s="26"/>
      <c r="L147" s="27">
        <f t="shared" si="58"/>
        <v>0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"/>
      <c r="AA147" s="9"/>
      <c r="AB147" s="9"/>
    </row>
    <row r="148" ht="15.75" hidden="1" customHeight="1" outlineLevel="1">
      <c r="A148" s="14">
        <v>46149.0</v>
      </c>
      <c r="B148" s="17">
        <v>0.1</v>
      </c>
      <c r="C148" s="18">
        <v>0.1</v>
      </c>
      <c r="D148" s="19">
        <v>0.05</v>
      </c>
      <c r="E148" s="20">
        <v>3.0</v>
      </c>
      <c r="F148" s="21">
        <v>1000.0</v>
      </c>
      <c r="G148" s="22">
        <f t="shared" si="55"/>
        <v>0</v>
      </c>
      <c r="H148" s="23">
        <f t="shared" si="56"/>
        <v>0</v>
      </c>
      <c r="I148" s="24">
        <f t="shared" si="57"/>
        <v>0</v>
      </c>
      <c r="J148" s="25"/>
      <c r="K148" s="26"/>
      <c r="L148" s="27">
        <f t="shared" si="58"/>
        <v>0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/>
      <c r="AA148" s="9"/>
      <c r="AB148" s="9"/>
    </row>
    <row r="149" ht="15.75" hidden="1" customHeight="1" outlineLevel="1">
      <c r="A149" s="14">
        <v>46150.0</v>
      </c>
      <c r="B149" s="17">
        <v>0.1</v>
      </c>
      <c r="C149" s="18">
        <v>0.1</v>
      </c>
      <c r="D149" s="19">
        <v>0.05</v>
      </c>
      <c r="E149" s="20">
        <v>3.0</v>
      </c>
      <c r="F149" s="21">
        <v>1000.0</v>
      </c>
      <c r="G149" s="22">
        <f t="shared" si="55"/>
        <v>0</v>
      </c>
      <c r="H149" s="23">
        <f t="shared" si="56"/>
        <v>0</v>
      </c>
      <c r="I149" s="24">
        <f t="shared" si="57"/>
        <v>0</v>
      </c>
      <c r="J149" s="25"/>
      <c r="K149" s="26"/>
      <c r="L149" s="27">
        <f t="shared" si="58"/>
        <v>0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"/>
      <c r="AA149" s="9"/>
      <c r="AB149" s="9"/>
    </row>
    <row r="150" ht="15.75" hidden="1" customHeight="1" outlineLevel="1">
      <c r="A150" s="14">
        <v>46151.0</v>
      </c>
      <c r="B150" s="17">
        <v>0.1</v>
      </c>
      <c r="C150" s="18">
        <v>0.1</v>
      </c>
      <c r="D150" s="19">
        <v>0.05</v>
      </c>
      <c r="E150" s="20">
        <v>3.0</v>
      </c>
      <c r="F150" s="21">
        <v>1000.0</v>
      </c>
      <c r="G150" s="22">
        <f t="shared" si="55"/>
        <v>0</v>
      </c>
      <c r="H150" s="23">
        <f t="shared" si="56"/>
        <v>0</v>
      </c>
      <c r="I150" s="24">
        <f t="shared" si="57"/>
        <v>0</v>
      </c>
      <c r="J150" s="25"/>
      <c r="K150" s="26"/>
      <c r="L150" s="27">
        <f t="shared" si="58"/>
        <v>0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"/>
      <c r="AA150" s="9"/>
      <c r="AB150" s="9"/>
    </row>
    <row r="151" ht="15.75" hidden="1" customHeight="1" outlineLevel="1">
      <c r="A151" s="14">
        <v>46152.0</v>
      </c>
      <c r="B151" s="17">
        <v>0.1</v>
      </c>
      <c r="C151" s="18">
        <v>0.1</v>
      </c>
      <c r="D151" s="19">
        <v>0.05</v>
      </c>
      <c r="E151" s="20">
        <v>3.0</v>
      </c>
      <c r="F151" s="21">
        <v>1000.0</v>
      </c>
      <c r="G151" s="22">
        <f t="shared" si="55"/>
        <v>0</v>
      </c>
      <c r="H151" s="23">
        <f t="shared" si="56"/>
        <v>0</v>
      </c>
      <c r="I151" s="24">
        <f t="shared" si="57"/>
        <v>0</v>
      </c>
      <c r="J151" s="25"/>
      <c r="K151" s="26"/>
      <c r="L151" s="27">
        <f t="shared" si="58"/>
        <v>0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  <c r="AA151" s="9"/>
      <c r="AB151" s="9"/>
    </row>
    <row r="152" ht="15.75" hidden="1" customHeight="1" outlineLevel="1">
      <c r="A152" s="14">
        <v>46153.0</v>
      </c>
      <c r="B152" s="17">
        <v>0.1</v>
      </c>
      <c r="C152" s="18">
        <v>0.1</v>
      </c>
      <c r="D152" s="19">
        <v>0.05</v>
      </c>
      <c r="E152" s="20">
        <v>3.0</v>
      </c>
      <c r="F152" s="21">
        <v>1000.0</v>
      </c>
      <c r="G152" s="22">
        <f t="shared" si="55"/>
        <v>0</v>
      </c>
      <c r="H152" s="23">
        <f t="shared" si="56"/>
        <v>0</v>
      </c>
      <c r="I152" s="24">
        <f t="shared" si="57"/>
        <v>0</v>
      </c>
      <c r="J152" s="25"/>
      <c r="K152" s="26"/>
      <c r="L152" s="27">
        <f t="shared" si="58"/>
        <v>0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/>
      <c r="AA152" s="9"/>
      <c r="AB152" s="9"/>
    </row>
    <row r="153" ht="15.75" hidden="1" customHeight="1" outlineLevel="1">
      <c r="A153" s="14">
        <v>46154.0</v>
      </c>
      <c r="B153" s="17">
        <v>0.1</v>
      </c>
      <c r="C153" s="18">
        <v>0.1</v>
      </c>
      <c r="D153" s="19">
        <v>0.05</v>
      </c>
      <c r="E153" s="20">
        <v>3.0</v>
      </c>
      <c r="F153" s="21">
        <v>1000.0</v>
      </c>
      <c r="G153" s="22">
        <f t="shared" si="55"/>
        <v>0</v>
      </c>
      <c r="H153" s="23">
        <f t="shared" si="56"/>
        <v>0</v>
      </c>
      <c r="I153" s="24">
        <f t="shared" si="57"/>
        <v>0</v>
      </c>
      <c r="J153" s="25"/>
      <c r="K153" s="26"/>
      <c r="L153" s="27">
        <f t="shared" si="58"/>
        <v>0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  <c r="AA153" s="9"/>
      <c r="AB153" s="9"/>
    </row>
    <row r="154" ht="15.75" hidden="1" customHeight="1" outlineLevel="1">
      <c r="A154" s="14">
        <v>46155.0</v>
      </c>
      <c r="B154" s="17">
        <v>0.1</v>
      </c>
      <c r="C154" s="18">
        <v>0.1</v>
      </c>
      <c r="D154" s="19">
        <v>0.05</v>
      </c>
      <c r="E154" s="20">
        <v>3.0</v>
      </c>
      <c r="F154" s="21">
        <v>1000.0</v>
      </c>
      <c r="G154" s="22">
        <f t="shared" si="55"/>
        <v>0</v>
      </c>
      <c r="H154" s="23">
        <f t="shared" si="56"/>
        <v>0</v>
      </c>
      <c r="I154" s="24">
        <f t="shared" si="57"/>
        <v>0</v>
      </c>
      <c r="J154" s="25"/>
      <c r="K154" s="26"/>
      <c r="L154" s="27">
        <f t="shared" si="58"/>
        <v>0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  <c r="AA154" s="9"/>
      <c r="AB154" s="9"/>
    </row>
    <row r="155" ht="15.75" hidden="1" customHeight="1" outlineLevel="1">
      <c r="A155" s="14">
        <v>46156.0</v>
      </c>
      <c r="B155" s="17">
        <v>0.1</v>
      </c>
      <c r="C155" s="18">
        <v>0.1</v>
      </c>
      <c r="D155" s="19">
        <v>0.05</v>
      </c>
      <c r="E155" s="20">
        <v>3.0</v>
      </c>
      <c r="F155" s="21">
        <v>1000.0</v>
      </c>
      <c r="G155" s="22">
        <f t="shared" si="55"/>
        <v>0</v>
      </c>
      <c r="H155" s="23">
        <f t="shared" si="56"/>
        <v>0</v>
      </c>
      <c r="I155" s="24">
        <f t="shared" si="57"/>
        <v>0</v>
      </c>
      <c r="J155" s="25"/>
      <c r="K155" s="26"/>
      <c r="L155" s="27">
        <f t="shared" si="58"/>
        <v>0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  <c r="AA155" s="9"/>
      <c r="AB155" s="9"/>
    </row>
    <row r="156" ht="15.75" hidden="1" customHeight="1" outlineLevel="1">
      <c r="A156" s="14">
        <v>46157.0</v>
      </c>
      <c r="B156" s="17">
        <v>0.1</v>
      </c>
      <c r="C156" s="18">
        <v>0.1</v>
      </c>
      <c r="D156" s="19">
        <v>0.05</v>
      </c>
      <c r="E156" s="20">
        <v>3.0</v>
      </c>
      <c r="F156" s="21">
        <v>1000.0</v>
      </c>
      <c r="G156" s="22">
        <f t="shared" si="55"/>
        <v>0</v>
      </c>
      <c r="H156" s="23">
        <f t="shared" si="56"/>
        <v>0</v>
      </c>
      <c r="I156" s="24">
        <f t="shared" si="57"/>
        <v>0</v>
      </c>
      <c r="J156" s="25"/>
      <c r="K156" s="26"/>
      <c r="L156" s="27">
        <f t="shared" si="58"/>
        <v>0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/>
      <c r="AA156" s="9"/>
      <c r="AB156" s="9"/>
    </row>
    <row r="157" ht="15.75" hidden="1" customHeight="1" outlineLevel="1">
      <c r="A157" s="14">
        <v>46158.0</v>
      </c>
      <c r="B157" s="17">
        <v>0.1</v>
      </c>
      <c r="C157" s="18">
        <v>0.1</v>
      </c>
      <c r="D157" s="19">
        <v>0.05</v>
      </c>
      <c r="E157" s="20">
        <v>3.0</v>
      </c>
      <c r="F157" s="21">
        <v>1000.0</v>
      </c>
      <c r="G157" s="22">
        <f t="shared" si="55"/>
        <v>0</v>
      </c>
      <c r="H157" s="23">
        <f t="shared" si="56"/>
        <v>0</v>
      </c>
      <c r="I157" s="24">
        <f t="shared" si="57"/>
        <v>0</v>
      </c>
      <c r="J157" s="25"/>
      <c r="K157" s="26"/>
      <c r="L157" s="27">
        <f t="shared" si="58"/>
        <v>0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  <c r="AA157" s="9"/>
      <c r="AB157" s="9"/>
    </row>
    <row r="158" ht="15.75" hidden="1" customHeight="1" outlineLevel="1">
      <c r="A158" s="14">
        <v>46159.0</v>
      </c>
      <c r="B158" s="17">
        <v>0.1</v>
      </c>
      <c r="C158" s="18">
        <v>0.1</v>
      </c>
      <c r="D158" s="19">
        <v>0.05</v>
      </c>
      <c r="E158" s="20">
        <v>3.0</v>
      </c>
      <c r="F158" s="21">
        <v>1000.0</v>
      </c>
      <c r="G158" s="22">
        <f t="shared" si="55"/>
        <v>0</v>
      </c>
      <c r="H158" s="23">
        <f t="shared" si="56"/>
        <v>0</v>
      </c>
      <c r="I158" s="24">
        <f t="shared" si="57"/>
        <v>0</v>
      </c>
      <c r="J158" s="25"/>
      <c r="K158" s="26"/>
      <c r="L158" s="27">
        <f t="shared" si="58"/>
        <v>0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  <c r="AA158" s="9"/>
      <c r="AB158" s="9"/>
    </row>
    <row r="159" ht="15.75" hidden="1" customHeight="1" outlineLevel="1">
      <c r="A159" s="14">
        <v>46160.0</v>
      </c>
      <c r="B159" s="17">
        <v>0.1</v>
      </c>
      <c r="C159" s="18">
        <v>0.1</v>
      </c>
      <c r="D159" s="19">
        <v>0.05</v>
      </c>
      <c r="E159" s="20">
        <v>3.0</v>
      </c>
      <c r="F159" s="21">
        <v>1000.0</v>
      </c>
      <c r="G159" s="22">
        <f t="shared" si="55"/>
        <v>0</v>
      </c>
      <c r="H159" s="23">
        <f t="shared" si="56"/>
        <v>0</v>
      </c>
      <c r="I159" s="24">
        <f t="shared" si="57"/>
        <v>0</v>
      </c>
      <c r="J159" s="25"/>
      <c r="K159" s="26"/>
      <c r="L159" s="27">
        <f t="shared" si="58"/>
        <v>0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  <c r="AA159" s="9"/>
      <c r="AB159" s="9"/>
    </row>
    <row r="160" ht="15.75" hidden="1" customHeight="1" outlineLevel="1">
      <c r="A160" s="14">
        <v>46161.0</v>
      </c>
      <c r="B160" s="17">
        <v>0.1</v>
      </c>
      <c r="C160" s="18">
        <v>0.1</v>
      </c>
      <c r="D160" s="19">
        <v>0.05</v>
      </c>
      <c r="E160" s="20">
        <v>3.0</v>
      </c>
      <c r="F160" s="21">
        <v>1000.0</v>
      </c>
      <c r="G160" s="22">
        <f t="shared" si="55"/>
        <v>0</v>
      </c>
      <c r="H160" s="23">
        <f t="shared" si="56"/>
        <v>0</v>
      </c>
      <c r="I160" s="24">
        <f t="shared" si="57"/>
        <v>0</v>
      </c>
      <c r="J160" s="25"/>
      <c r="K160" s="26"/>
      <c r="L160" s="27">
        <f t="shared" si="58"/>
        <v>0</v>
      </c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  <c r="AA160" s="9"/>
      <c r="AB160" s="9"/>
    </row>
    <row r="161" ht="15.75" hidden="1" customHeight="1" outlineLevel="1">
      <c r="A161" s="14">
        <v>46162.0</v>
      </c>
      <c r="B161" s="17">
        <v>0.1</v>
      </c>
      <c r="C161" s="18">
        <v>0.1</v>
      </c>
      <c r="D161" s="19">
        <v>0.05</v>
      </c>
      <c r="E161" s="20">
        <v>3.0</v>
      </c>
      <c r="F161" s="21">
        <v>1000.0</v>
      </c>
      <c r="G161" s="22">
        <f t="shared" si="55"/>
        <v>0</v>
      </c>
      <c r="H161" s="23">
        <f t="shared" si="56"/>
        <v>0</v>
      </c>
      <c r="I161" s="24">
        <f t="shared" si="57"/>
        <v>0</v>
      </c>
      <c r="J161" s="25"/>
      <c r="K161" s="26"/>
      <c r="L161" s="27">
        <f t="shared" si="58"/>
        <v>0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  <c r="AA161" s="9"/>
      <c r="AB161" s="9"/>
    </row>
    <row r="162" ht="15.75" hidden="1" customHeight="1" outlineLevel="1">
      <c r="A162" s="14">
        <v>46163.0</v>
      </c>
      <c r="B162" s="17">
        <v>0.1</v>
      </c>
      <c r="C162" s="18">
        <v>0.1</v>
      </c>
      <c r="D162" s="19">
        <v>0.05</v>
      </c>
      <c r="E162" s="20">
        <v>3.0</v>
      </c>
      <c r="F162" s="21">
        <v>1000.0</v>
      </c>
      <c r="G162" s="22">
        <f t="shared" si="55"/>
        <v>0</v>
      </c>
      <c r="H162" s="23">
        <f t="shared" si="56"/>
        <v>0</v>
      </c>
      <c r="I162" s="24">
        <f t="shared" si="57"/>
        <v>0</v>
      </c>
      <c r="J162" s="25"/>
      <c r="K162" s="26"/>
      <c r="L162" s="27">
        <f t="shared" si="58"/>
        <v>0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  <c r="AA162" s="9"/>
      <c r="AB162" s="9"/>
    </row>
    <row r="163" ht="15.75" hidden="1" customHeight="1" outlineLevel="1">
      <c r="A163" s="14">
        <v>46164.0</v>
      </c>
      <c r="B163" s="17">
        <v>0.1</v>
      </c>
      <c r="C163" s="18">
        <v>0.1</v>
      </c>
      <c r="D163" s="19">
        <v>0.05</v>
      </c>
      <c r="E163" s="20">
        <v>3.0</v>
      </c>
      <c r="F163" s="21">
        <v>1000.0</v>
      </c>
      <c r="G163" s="22">
        <f t="shared" si="55"/>
        <v>0</v>
      </c>
      <c r="H163" s="23">
        <f t="shared" si="56"/>
        <v>0</v>
      </c>
      <c r="I163" s="24">
        <f t="shared" si="57"/>
        <v>0</v>
      </c>
      <c r="J163" s="25"/>
      <c r="K163" s="26"/>
      <c r="L163" s="27">
        <f t="shared" si="58"/>
        <v>0</v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  <c r="AA163" s="9"/>
      <c r="AB163" s="9"/>
    </row>
    <row r="164" ht="15.75" hidden="1" customHeight="1" outlineLevel="1">
      <c r="A164" s="14">
        <v>46165.0</v>
      </c>
      <c r="B164" s="17">
        <v>0.1</v>
      </c>
      <c r="C164" s="18">
        <v>0.1</v>
      </c>
      <c r="D164" s="19">
        <v>0.05</v>
      </c>
      <c r="E164" s="20">
        <v>3.0</v>
      </c>
      <c r="F164" s="21">
        <v>1000.0</v>
      </c>
      <c r="G164" s="22">
        <f t="shared" si="55"/>
        <v>0</v>
      </c>
      <c r="H164" s="23">
        <f t="shared" si="56"/>
        <v>0</v>
      </c>
      <c r="I164" s="24">
        <f t="shared" si="57"/>
        <v>0</v>
      </c>
      <c r="J164" s="25"/>
      <c r="K164" s="26"/>
      <c r="L164" s="27">
        <f t="shared" si="58"/>
        <v>0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"/>
      <c r="AA164" s="9"/>
      <c r="AB164" s="9"/>
    </row>
    <row r="165" ht="15.75" hidden="1" customHeight="1" outlineLevel="1">
      <c r="A165" s="14">
        <v>46166.0</v>
      </c>
      <c r="B165" s="17">
        <v>0.1</v>
      </c>
      <c r="C165" s="18">
        <v>0.1</v>
      </c>
      <c r="D165" s="19">
        <v>0.05</v>
      </c>
      <c r="E165" s="20">
        <v>3.0</v>
      </c>
      <c r="F165" s="21">
        <v>1000.0</v>
      </c>
      <c r="G165" s="22">
        <f t="shared" si="55"/>
        <v>0</v>
      </c>
      <c r="H165" s="23">
        <f t="shared" si="56"/>
        <v>0</v>
      </c>
      <c r="I165" s="24">
        <f t="shared" si="57"/>
        <v>0</v>
      </c>
      <c r="J165" s="25"/>
      <c r="K165" s="26"/>
      <c r="L165" s="27">
        <f t="shared" si="58"/>
        <v>0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  <c r="AA165" s="9"/>
      <c r="AB165" s="9"/>
    </row>
    <row r="166" ht="15.75" hidden="1" customHeight="1" outlineLevel="1">
      <c r="A166" s="14">
        <v>46167.0</v>
      </c>
      <c r="B166" s="17">
        <v>0.1</v>
      </c>
      <c r="C166" s="18">
        <v>0.1</v>
      </c>
      <c r="D166" s="19">
        <v>0.05</v>
      </c>
      <c r="E166" s="20">
        <v>3.0</v>
      </c>
      <c r="F166" s="21">
        <v>1000.0</v>
      </c>
      <c r="G166" s="22">
        <f t="shared" si="55"/>
        <v>0</v>
      </c>
      <c r="H166" s="23">
        <f t="shared" si="56"/>
        <v>0</v>
      </c>
      <c r="I166" s="24">
        <f t="shared" si="57"/>
        <v>0</v>
      </c>
      <c r="J166" s="25"/>
      <c r="K166" s="26"/>
      <c r="L166" s="27">
        <f t="shared" si="58"/>
        <v>0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  <c r="AA166" s="9"/>
      <c r="AB166" s="9"/>
    </row>
    <row r="167" ht="15.75" hidden="1" customHeight="1" outlineLevel="1">
      <c r="A167" s="14">
        <v>46168.0</v>
      </c>
      <c r="B167" s="17">
        <v>0.1</v>
      </c>
      <c r="C167" s="18">
        <v>0.1</v>
      </c>
      <c r="D167" s="19">
        <v>0.05</v>
      </c>
      <c r="E167" s="20">
        <v>3.0</v>
      </c>
      <c r="F167" s="21">
        <v>1000.0</v>
      </c>
      <c r="G167" s="22">
        <f t="shared" si="55"/>
        <v>0</v>
      </c>
      <c r="H167" s="23">
        <f t="shared" si="56"/>
        <v>0</v>
      </c>
      <c r="I167" s="24">
        <f t="shared" si="57"/>
        <v>0</v>
      </c>
      <c r="J167" s="25"/>
      <c r="K167" s="26"/>
      <c r="L167" s="27">
        <f t="shared" si="58"/>
        <v>0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  <c r="AA167" s="9"/>
      <c r="AB167" s="9"/>
    </row>
    <row r="168" ht="15.75" hidden="1" customHeight="1" outlineLevel="1">
      <c r="A168" s="14">
        <v>46169.0</v>
      </c>
      <c r="B168" s="17">
        <v>0.1</v>
      </c>
      <c r="C168" s="18">
        <v>0.1</v>
      </c>
      <c r="D168" s="19">
        <v>0.05</v>
      </c>
      <c r="E168" s="20">
        <v>3.0</v>
      </c>
      <c r="F168" s="21">
        <v>1000.0</v>
      </c>
      <c r="G168" s="22">
        <f t="shared" si="55"/>
        <v>0</v>
      </c>
      <c r="H168" s="23">
        <f t="shared" si="56"/>
        <v>0</v>
      </c>
      <c r="I168" s="24">
        <f t="shared" si="57"/>
        <v>0</v>
      </c>
      <c r="J168" s="25"/>
      <c r="K168" s="26"/>
      <c r="L168" s="27">
        <f t="shared" si="58"/>
        <v>0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/>
      <c r="AA168" s="9"/>
      <c r="AB168" s="9"/>
    </row>
    <row r="169" ht="15.75" hidden="1" customHeight="1" outlineLevel="1">
      <c r="A169" s="14">
        <v>46170.0</v>
      </c>
      <c r="B169" s="17">
        <v>0.1</v>
      </c>
      <c r="C169" s="18">
        <v>0.1</v>
      </c>
      <c r="D169" s="19">
        <v>0.05</v>
      </c>
      <c r="E169" s="20">
        <v>3.0</v>
      </c>
      <c r="F169" s="21">
        <v>1000.0</v>
      </c>
      <c r="G169" s="22">
        <f t="shared" si="55"/>
        <v>0</v>
      </c>
      <c r="H169" s="23">
        <f t="shared" si="56"/>
        <v>0</v>
      </c>
      <c r="I169" s="24">
        <f t="shared" si="57"/>
        <v>0</v>
      </c>
      <c r="J169" s="25"/>
      <c r="K169" s="26"/>
      <c r="L169" s="27">
        <f t="shared" si="58"/>
        <v>0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/>
      <c r="AA169" s="9"/>
      <c r="AB169" s="9"/>
    </row>
    <row r="170" ht="15.75" hidden="1" customHeight="1" outlineLevel="1">
      <c r="A170" s="14">
        <v>46171.0</v>
      </c>
      <c r="B170" s="17">
        <v>0.1</v>
      </c>
      <c r="C170" s="18">
        <v>0.1</v>
      </c>
      <c r="D170" s="19">
        <v>0.05</v>
      </c>
      <c r="E170" s="20">
        <v>3.0</v>
      </c>
      <c r="F170" s="21">
        <v>1000.0</v>
      </c>
      <c r="G170" s="22">
        <f t="shared" si="55"/>
        <v>0</v>
      </c>
      <c r="H170" s="23">
        <f t="shared" si="56"/>
        <v>0</v>
      </c>
      <c r="I170" s="24">
        <f t="shared" si="57"/>
        <v>0</v>
      </c>
      <c r="J170" s="25"/>
      <c r="K170" s="26"/>
      <c r="L170" s="27">
        <f t="shared" si="58"/>
        <v>0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"/>
      <c r="AA170" s="9"/>
      <c r="AB170" s="9"/>
    </row>
    <row r="171" ht="15.75" hidden="1" customHeight="1" outlineLevel="1">
      <c r="A171" s="14">
        <v>46172.0</v>
      </c>
      <c r="B171" s="17">
        <v>0.1</v>
      </c>
      <c r="C171" s="18">
        <v>0.1</v>
      </c>
      <c r="D171" s="19">
        <v>0.05</v>
      </c>
      <c r="E171" s="20">
        <v>3.0</v>
      </c>
      <c r="F171" s="21">
        <v>1000.0</v>
      </c>
      <c r="G171" s="22">
        <f t="shared" si="55"/>
        <v>0</v>
      </c>
      <c r="H171" s="23">
        <f t="shared" si="56"/>
        <v>0</v>
      </c>
      <c r="I171" s="24">
        <f t="shared" si="57"/>
        <v>0</v>
      </c>
      <c r="J171" s="25"/>
      <c r="K171" s="26"/>
      <c r="L171" s="27">
        <f t="shared" si="58"/>
        <v>0</v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"/>
      <c r="AA171" s="9"/>
      <c r="AB171" s="9"/>
    </row>
    <row r="172" ht="15.75" hidden="1" customHeight="1" outlineLevel="1">
      <c r="A172" s="14">
        <v>46173.0</v>
      </c>
      <c r="B172" s="17">
        <v>0.1</v>
      </c>
      <c r="C172" s="18">
        <v>0.1</v>
      </c>
      <c r="D172" s="19">
        <v>0.05</v>
      </c>
      <c r="E172" s="20">
        <v>3.0</v>
      </c>
      <c r="F172" s="21">
        <v>1000.0</v>
      </c>
      <c r="G172" s="22">
        <f t="shared" si="55"/>
        <v>0</v>
      </c>
      <c r="H172" s="23">
        <f t="shared" si="56"/>
        <v>0</v>
      </c>
      <c r="I172" s="24">
        <f t="shared" si="57"/>
        <v>0</v>
      </c>
      <c r="J172" s="25"/>
      <c r="K172" s="26"/>
      <c r="L172" s="27">
        <f t="shared" si="58"/>
        <v>0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  <c r="AA172" s="9"/>
      <c r="AB172" s="9"/>
    </row>
    <row r="173" ht="15.75" hidden="1" customHeight="1" outlineLevel="1">
      <c r="A173" s="28" t="s">
        <v>18</v>
      </c>
      <c r="C173" s="29">
        <f>SUM(C142:C172)</f>
        <v>3.1</v>
      </c>
      <c r="D173" s="30"/>
      <c r="E173" s="30"/>
      <c r="F173" s="30"/>
      <c r="G173" s="30"/>
      <c r="H173" s="30"/>
      <c r="I173" s="31">
        <f t="shared" ref="I173:K173" si="59">SUM(I142:I172)</f>
        <v>0</v>
      </c>
      <c r="J173" s="32">
        <f t="shared" si="59"/>
        <v>0</v>
      </c>
      <c r="K173" s="30">
        <f t="shared" si="59"/>
        <v>0</v>
      </c>
      <c r="L173" s="32">
        <f>L172</f>
        <v>0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  <c r="AA173" s="9"/>
      <c r="AB173" s="9"/>
    </row>
    <row r="174" ht="15.75" customHeight="1">
      <c r="A174" s="38"/>
      <c r="B174" s="35"/>
      <c r="C174" s="35"/>
      <c r="D174" s="35"/>
      <c r="E174" s="35"/>
      <c r="F174" s="35"/>
      <c r="G174" s="35"/>
      <c r="H174" s="35"/>
      <c r="I174" s="35"/>
      <c r="J174" s="35"/>
      <c r="K174" s="37">
        <f>SUM(K142:K172)</f>
        <v>0</v>
      </c>
      <c r="L174" s="35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  <c r="AA174" s="9"/>
      <c r="AB174" s="9"/>
    </row>
    <row r="175" ht="15.75" customHeight="1" collapsed="1">
      <c r="A175" s="1" t="s">
        <v>24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  <c r="AA175" s="9"/>
      <c r="AB175" s="9"/>
    </row>
    <row r="176" ht="15.75" hidden="1" customHeight="1" outlineLevel="1">
      <c r="A176" s="14" t="s">
        <v>6</v>
      </c>
      <c r="B176" s="1" t="s">
        <v>7</v>
      </c>
      <c r="C176" s="1" t="s">
        <v>8</v>
      </c>
      <c r="D176" s="15" t="s">
        <v>9</v>
      </c>
      <c r="E176" s="15" t="s">
        <v>10</v>
      </c>
      <c r="F176" s="15" t="s">
        <v>11</v>
      </c>
      <c r="G176" s="16" t="s">
        <v>12</v>
      </c>
      <c r="H176" s="15" t="s">
        <v>13</v>
      </c>
      <c r="I176" s="1" t="s">
        <v>14</v>
      </c>
      <c r="J176" s="17" t="s">
        <v>15</v>
      </c>
      <c r="K176" s="1" t="s">
        <v>16</v>
      </c>
      <c r="L176" s="1" t="s">
        <v>17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  <c r="AA176" s="9"/>
      <c r="AB176" s="9"/>
    </row>
    <row r="177" ht="15.75" hidden="1" customHeight="1" outlineLevel="1">
      <c r="A177" s="14">
        <v>46174.0</v>
      </c>
      <c r="B177" s="17">
        <v>0.1</v>
      </c>
      <c r="C177" s="18">
        <v>0.1</v>
      </c>
      <c r="D177" s="19">
        <v>0.05</v>
      </c>
      <c r="E177" s="20">
        <v>3.0</v>
      </c>
      <c r="F177" s="21">
        <v>1000.0</v>
      </c>
      <c r="G177" s="22">
        <f>L173*C177</f>
        <v>0</v>
      </c>
      <c r="H177" s="23">
        <f>L173*D177</f>
        <v>0</v>
      </c>
      <c r="I177" s="24">
        <f>(J177/L173)*100</f>
        <v>0</v>
      </c>
      <c r="J177" s="25"/>
      <c r="K177" s="26"/>
      <c r="L177" s="27">
        <f>(L173+J177)-K177</f>
        <v>0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  <c r="AA177" s="9"/>
      <c r="AB177" s="9"/>
    </row>
    <row r="178" ht="15.75" hidden="1" customHeight="1" outlineLevel="1">
      <c r="A178" s="14">
        <v>46175.0</v>
      </c>
      <c r="B178" s="17">
        <v>0.1</v>
      </c>
      <c r="C178" s="18">
        <v>0.1</v>
      </c>
      <c r="D178" s="19">
        <v>0.05</v>
      </c>
      <c r="E178" s="20">
        <v>3.0</v>
      </c>
      <c r="F178" s="21">
        <v>1000.0</v>
      </c>
      <c r="G178" s="22">
        <f t="shared" ref="G178:G206" si="60">L177*C178</f>
        <v>0</v>
      </c>
      <c r="H178" s="23">
        <f t="shared" ref="H178:H206" si="61">L177*D178</f>
        <v>0</v>
      </c>
      <c r="I178" s="24">
        <f t="shared" ref="I178:I206" si="62">(J178/L177)*100</f>
        <v>0</v>
      </c>
      <c r="J178" s="25"/>
      <c r="K178" s="26"/>
      <c r="L178" s="27">
        <f t="shared" ref="L178:L206" si="63">(L177+J178)-K178</f>
        <v>0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"/>
      <c r="AA178" s="9"/>
      <c r="AB178" s="9"/>
    </row>
    <row r="179" ht="15.75" hidden="1" customHeight="1" outlineLevel="1">
      <c r="A179" s="14">
        <v>46176.0</v>
      </c>
      <c r="B179" s="17">
        <v>0.1</v>
      </c>
      <c r="C179" s="18">
        <v>0.1</v>
      </c>
      <c r="D179" s="19">
        <v>0.05</v>
      </c>
      <c r="E179" s="20">
        <v>3.0</v>
      </c>
      <c r="F179" s="21">
        <v>1000.0</v>
      </c>
      <c r="G179" s="22">
        <f t="shared" si="60"/>
        <v>0</v>
      </c>
      <c r="H179" s="23">
        <f t="shared" si="61"/>
        <v>0</v>
      </c>
      <c r="I179" s="24">
        <f t="shared" si="62"/>
        <v>0</v>
      </c>
      <c r="J179" s="25"/>
      <c r="K179" s="26"/>
      <c r="L179" s="27">
        <f t="shared" si="63"/>
        <v>0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  <c r="AA179" s="9"/>
      <c r="AB179" s="9"/>
    </row>
    <row r="180" ht="15.75" hidden="1" customHeight="1" outlineLevel="1">
      <c r="A180" s="14">
        <v>46177.0</v>
      </c>
      <c r="B180" s="17">
        <v>0.1</v>
      </c>
      <c r="C180" s="18">
        <v>0.1</v>
      </c>
      <c r="D180" s="19">
        <v>0.05</v>
      </c>
      <c r="E180" s="20">
        <v>3.0</v>
      </c>
      <c r="F180" s="21">
        <v>1000.0</v>
      </c>
      <c r="G180" s="22">
        <f t="shared" si="60"/>
        <v>0</v>
      </c>
      <c r="H180" s="23">
        <f t="shared" si="61"/>
        <v>0</v>
      </c>
      <c r="I180" s="24">
        <f t="shared" si="62"/>
        <v>0</v>
      </c>
      <c r="J180" s="25"/>
      <c r="K180" s="26"/>
      <c r="L180" s="27">
        <f t="shared" si="63"/>
        <v>0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  <c r="AA180" s="9"/>
      <c r="AB180" s="9"/>
    </row>
    <row r="181" ht="15.75" hidden="1" customHeight="1" outlineLevel="1">
      <c r="A181" s="14">
        <v>46178.0</v>
      </c>
      <c r="B181" s="17">
        <v>0.1</v>
      </c>
      <c r="C181" s="18">
        <v>0.1</v>
      </c>
      <c r="D181" s="19">
        <v>0.05</v>
      </c>
      <c r="E181" s="20">
        <v>3.0</v>
      </c>
      <c r="F181" s="21">
        <v>1000.0</v>
      </c>
      <c r="G181" s="22">
        <f t="shared" si="60"/>
        <v>0</v>
      </c>
      <c r="H181" s="23">
        <f t="shared" si="61"/>
        <v>0</v>
      </c>
      <c r="I181" s="24">
        <f t="shared" si="62"/>
        <v>0</v>
      </c>
      <c r="J181" s="25"/>
      <c r="K181" s="26"/>
      <c r="L181" s="27">
        <f t="shared" si="63"/>
        <v>0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  <c r="AA181" s="9"/>
      <c r="AB181" s="9"/>
    </row>
    <row r="182" ht="15.75" hidden="1" customHeight="1" outlineLevel="1">
      <c r="A182" s="14">
        <v>46179.0</v>
      </c>
      <c r="B182" s="17">
        <v>0.1</v>
      </c>
      <c r="C182" s="18">
        <v>0.1</v>
      </c>
      <c r="D182" s="19">
        <v>0.05</v>
      </c>
      <c r="E182" s="20">
        <v>3.0</v>
      </c>
      <c r="F182" s="21">
        <v>1000.0</v>
      </c>
      <c r="G182" s="22">
        <f t="shared" si="60"/>
        <v>0</v>
      </c>
      <c r="H182" s="23">
        <f t="shared" si="61"/>
        <v>0</v>
      </c>
      <c r="I182" s="24">
        <f t="shared" si="62"/>
        <v>0</v>
      </c>
      <c r="J182" s="25"/>
      <c r="K182" s="26"/>
      <c r="L182" s="27">
        <f t="shared" si="63"/>
        <v>0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  <c r="AA182" s="9"/>
      <c r="AB182" s="9"/>
    </row>
    <row r="183" ht="15.75" hidden="1" customHeight="1" outlineLevel="1">
      <c r="A183" s="14">
        <v>46180.0</v>
      </c>
      <c r="B183" s="17">
        <v>0.1</v>
      </c>
      <c r="C183" s="18">
        <v>0.1</v>
      </c>
      <c r="D183" s="19">
        <v>0.05</v>
      </c>
      <c r="E183" s="20">
        <v>3.0</v>
      </c>
      <c r="F183" s="21">
        <v>1000.0</v>
      </c>
      <c r="G183" s="22">
        <f t="shared" si="60"/>
        <v>0</v>
      </c>
      <c r="H183" s="23">
        <f t="shared" si="61"/>
        <v>0</v>
      </c>
      <c r="I183" s="24">
        <f t="shared" si="62"/>
        <v>0</v>
      </c>
      <c r="J183" s="25"/>
      <c r="K183" s="26"/>
      <c r="L183" s="27">
        <f t="shared" si="63"/>
        <v>0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  <c r="AA183" s="9"/>
      <c r="AB183" s="9"/>
    </row>
    <row r="184" ht="15.75" hidden="1" customHeight="1" outlineLevel="1">
      <c r="A184" s="14">
        <v>46181.0</v>
      </c>
      <c r="B184" s="17">
        <v>0.1</v>
      </c>
      <c r="C184" s="18">
        <v>0.1</v>
      </c>
      <c r="D184" s="19">
        <v>0.05</v>
      </c>
      <c r="E184" s="20">
        <v>3.0</v>
      </c>
      <c r="F184" s="21">
        <v>1000.0</v>
      </c>
      <c r="G184" s="22">
        <f t="shared" si="60"/>
        <v>0</v>
      </c>
      <c r="H184" s="23">
        <f t="shared" si="61"/>
        <v>0</v>
      </c>
      <c r="I184" s="24">
        <f t="shared" si="62"/>
        <v>0</v>
      </c>
      <c r="J184" s="25"/>
      <c r="K184" s="26"/>
      <c r="L184" s="27">
        <f t="shared" si="63"/>
        <v>0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"/>
      <c r="AA184" s="9"/>
      <c r="AB184" s="9"/>
    </row>
    <row r="185" ht="15.75" hidden="1" customHeight="1" outlineLevel="1">
      <c r="A185" s="14">
        <v>46182.0</v>
      </c>
      <c r="B185" s="17">
        <v>0.1</v>
      </c>
      <c r="C185" s="18">
        <v>0.1</v>
      </c>
      <c r="D185" s="19">
        <v>0.05</v>
      </c>
      <c r="E185" s="20">
        <v>3.0</v>
      </c>
      <c r="F185" s="21">
        <v>1000.0</v>
      </c>
      <c r="G185" s="22">
        <f t="shared" si="60"/>
        <v>0</v>
      </c>
      <c r="H185" s="23">
        <f t="shared" si="61"/>
        <v>0</v>
      </c>
      <c r="I185" s="24">
        <f t="shared" si="62"/>
        <v>0</v>
      </c>
      <c r="J185" s="25"/>
      <c r="K185" s="26"/>
      <c r="L185" s="27">
        <f t="shared" si="63"/>
        <v>0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  <c r="AA185" s="9"/>
      <c r="AB185" s="9"/>
    </row>
    <row r="186" ht="15.75" hidden="1" customHeight="1" outlineLevel="1">
      <c r="A186" s="14">
        <v>46183.0</v>
      </c>
      <c r="B186" s="17">
        <v>0.1</v>
      </c>
      <c r="C186" s="18">
        <v>0.1</v>
      </c>
      <c r="D186" s="19">
        <v>0.05</v>
      </c>
      <c r="E186" s="20">
        <v>3.0</v>
      </c>
      <c r="F186" s="21">
        <v>1000.0</v>
      </c>
      <c r="G186" s="22">
        <f t="shared" si="60"/>
        <v>0</v>
      </c>
      <c r="H186" s="23">
        <f t="shared" si="61"/>
        <v>0</v>
      </c>
      <c r="I186" s="24">
        <f t="shared" si="62"/>
        <v>0</v>
      </c>
      <c r="J186" s="25"/>
      <c r="K186" s="26"/>
      <c r="L186" s="27">
        <f t="shared" si="63"/>
        <v>0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  <c r="AA186" s="9"/>
      <c r="AB186" s="9"/>
    </row>
    <row r="187" ht="15.75" hidden="1" customHeight="1" outlineLevel="1">
      <c r="A187" s="14">
        <v>46184.0</v>
      </c>
      <c r="B187" s="17">
        <v>0.1</v>
      </c>
      <c r="C187" s="18">
        <v>0.1</v>
      </c>
      <c r="D187" s="19">
        <v>0.05</v>
      </c>
      <c r="E187" s="20">
        <v>3.0</v>
      </c>
      <c r="F187" s="21">
        <v>1000.0</v>
      </c>
      <c r="G187" s="22">
        <f t="shared" si="60"/>
        <v>0</v>
      </c>
      <c r="H187" s="23">
        <f t="shared" si="61"/>
        <v>0</v>
      </c>
      <c r="I187" s="24">
        <f t="shared" si="62"/>
        <v>0</v>
      </c>
      <c r="J187" s="25"/>
      <c r="K187" s="26"/>
      <c r="L187" s="27">
        <f t="shared" si="63"/>
        <v>0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  <c r="AA187" s="9"/>
      <c r="AB187" s="9"/>
    </row>
    <row r="188" ht="15.75" hidden="1" customHeight="1" outlineLevel="1">
      <c r="A188" s="14">
        <v>46185.0</v>
      </c>
      <c r="B188" s="17">
        <v>0.1</v>
      </c>
      <c r="C188" s="18">
        <v>0.1</v>
      </c>
      <c r="D188" s="19">
        <v>0.05</v>
      </c>
      <c r="E188" s="20">
        <v>3.0</v>
      </c>
      <c r="F188" s="21">
        <v>1000.0</v>
      </c>
      <c r="G188" s="22">
        <f t="shared" si="60"/>
        <v>0</v>
      </c>
      <c r="H188" s="23">
        <f t="shared" si="61"/>
        <v>0</v>
      </c>
      <c r="I188" s="24">
        <f t="shared" si="62"/>
        <v>0</v>
      </c>
      <c r="J188" s="25"/>
      <c r="K188" s="26"/>
      <c r="L188" s="27">
        <f t="shared" si="63"/>
        <v>0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/>
      <c r="AA188" s="9"/>
      <c r="AB188" s="9"/>
    </row>
    <row r="189" ht="15.75" hidden="1" customHeight="1" outlineLevel="1">
      <c r="A189" s="14">
        <v>46186.0</v>
      </c>
      <c r="B189" s="17">
        <v>0.1</v>
      </c>
      <c r="C189" s="18">
        <v>0.1</v>
      </c>
      <c r="D189" s="19">
        <v>0.05</v>
      </c>
      <c r="E189" s="20">
        <v>3.0</v>
      </c>
      <c r="F189" s="21">
        <v>1000.0</v>
      </c>
      <c r="G189" s="22">
        <f t="shared" si="60"/>
        <v>0</v>
      </c>
      <c r="H189" s="23">
        <f t="shared" si="61"/>
        <v>0</v>
      </c>
      <c r="I189" s="24">
        <f t="shared" si="62"/>
        <v>0</v>
      </c>
      <c r="J189" s="25"/>
      <c r="K189" s="26"/>
      <c r="L189" s="27">
        <f t="shared" si="63"/>
        <v>0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/>
      <c r="AA189" s="9"/>
      <c r="AB189" s="9"/>
    </row>
    <row r="190" ht="15.75" hidden="1" customHeight="1" outlineLevel="1">
      <c r="A190" s="14">
        <v>46187.0</v>
      </c>
      <c r="B190" s="17">
        <v>0.1</v>
      </c>
      <c r="C190" s="18">
        <v>0.1</v>
      </c>
      <c r="D190" s="19">
        <v>0.05</v>
      </c>
      <c r="E190" s="20">
        <v>3.0</v>
      </c>
      <c r="F190" s="21">
        <v>1000.0</v>
      </c>
      <c r="G190" s="22">
        <f t="shared" si="60"/>
        <v>0</v>
      </c>
      <c r="H190" s="23">
        <f t="shared" si="61"/>
        <v>0</v>
      </c>
      <c r="I190" s="24">
        <f t="shared" si="62"/>
        <v>0</v>
      </c>
      <c r="J190" s="25"/>
      <c r="K190" s="26"/>
      <c r="L190" s="27">
        <f t="shared" si="63"/>
        <v>0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/>
      <c r="AA190" s="9"/>
      <c r="AB190" s="9"/>
    </row>
    <row r="191" ht="15.75" hidden="1" customHeight="1" outlineLevel="1">
      <c r="A191" s="14">
        <v>46188.0</v>
      </c>
      <c r="B191" s="17">
        <v>0.1</v>
      </c>
      <c r="C191" s="18">
        <v>0.1</v>
      </c>
      <c r="D191" s="19">
        <v>0.05</v>
      </c>
      <c r="E191" s="20">
        <v>3.0</v>
      </c>
      <c r="F191" s="21">
        <v>1000.0</v>
      </c>
      <c r="G191" s="22">
        <f t="shared" si="60"/>
        <v>0</v>
      </c>
      <c r="H191" s="23">
        <f t="shared" si="61"/>
        <v>0</v>
      </c>
      <c r="I191" s="24">
        <f t="shared" si="62"/>
        <v>0</v>
      </c>
      <c r="J191" s="25"/>
      <c r="K191" s="26"/>
      <c r="L191" s="27">
        <f t="shared" si="63"/>
        <v>0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  <c r="AA191" s="9"/>
      <c r="AB191" s="9"/>
    </row>
    <row r="192" ht="15.75" hidden="1" customHeight="1" outlineLevel="1">
      <c r="A192" s="14">
        <v>46189.0</v>
      </c>
      <c r="B192" s="17">
        <v>0.1</v>
      </c>
      <c r="C192" s="18">
        <v>0.1</v>
      </c>
      <c r="D192" s="19">
        <v>0.05</v>
      </c>
      <c r="E192" s="20">
        <v>3.0</v>
      </c>
      <c r="F192" s="21">
        <v>1000.0</v>
      </c>
      <c r="G192" s="22">
        <f t="shared" si="60"/>
        <v>0</v>
      </c>
      <c r="H192" s="23">
        <f t="shared" si="61"/>
        <v>0</v>
      </c>
      <c r="I192" s="24">
        <f t="shared" si="62"/>
        <v>0</v>
      </c>
      <c r="J192" s="25"/>
      <c r="K192" s="26"/>
      <c r="L192" s="27">
        <f t="shared" si="63"/>
        <v>0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  <c r="AA192" s="9"/>
      <c r="AB192" s="9"/>
    </row>
    <row r="193" ht="15.75" hidden="1" customHeight="1" outlineLevel="1">
      <c r="A193" s="14">
        <v>46190.0</v>
      </c>
      <c r="B193" s="17">
        <v>0.1</v>
      </c>
      <c r="C193" s="18">
        <v>0.1</v>
      </c>
      <c r="D193" s="19">
        <v>0.05</v>
      </c>
      <c r="E193" s="20">
        <v>3.0</v>
      </c>
      <c r="F193" s="21">
        <v>1000.0</v>
      </c>
      <c r="G193" s="22">
        <f t="shared" si="60"/>
        <v>0</v>
      </c>
      <c r="H193" s="23">
        <f t="shared" si="61"/>
        <v>0</v>
      </c>
      <c r="I193" s="24">
        <f t="shared" si="62"/>
        <v>0</v>
      </c>
      <c r="J193" s="25"/>
      <c r="K193" s="26"/>
      <c r="L193" s="27">
        <f t="shared" si="63"/>
        <v>0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  <c r="AA193" s="9"/>
      <c r="AB193" s="9"/>
    </row>
    <row r="194" ht="15.75" hidden="1" customHeight="1" outlineLevel="1">
      <c r="A194" s="14">
        <v>46191.0</v>
      </c>
      <c r="B194" s="17">
        <v>0.1</v>
      </c>
      <c r="C194" s="18">
        <v>0.1</v>
      </c>
      <c r="D194" s="19">
        <v>0.05</v>
      </c>
      <c r="E194" s="20">
        <v>3.0</v>
      </c>
      <c r="F194" s="21">
        <v>1000.0</v>
      </c>
      <c r="G194" s="22">
        <f t="shared" si="60"/>
        <v>0</v>
      </c>
      <c r="H194" s="23">
        <f t="shared" si="61"/>
        <v>0</v>
      </c>
      <c r="I194" s="24">
        <f t="shared" si="62"/>
        <v>0</v>
      </c>
      <c r="J194" s="25"/>
      <c r="K194" s="26"/>
      <c r="L194" s="27">
        <f t="shared" si="63"/>
        <v>0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  <c r="AA194" s="9"/>
      <c r="AB194" s="9"/>
    </row>
    <row r="195" ht="15.75" hidden="1" customHeight="1" outlineLevel="1">
      <c r="A195" s="14">
        <v>46192.0</v>
      </c>
      <c r="B195" s="17">
        <v>0.1</v>
      </c>
      <c r="C195" s="18">
        <v>0.1</v>
      </c>
      <c r="D195" s="19">
        <v>0.05</v>
      </c>
      <c r="E195" s="20">
        <v>3.0</v>
      </c>
      <c r="F195" s="21">
        <v>1000.0</v>
      </c>
      <c r="G195" s="22">
        <f t="shared" si="60"/>
        <v>0</v>
      </c>
      <c r="H195" s="23">
        <f t="shared" si="61"/>
        <v>0</v>
      </c>
      <c r="I195" s="24">
        <f t="shared" si="62"/>
        <v>0</v>
      </c>
      <c r="J195" s="25"/>
      <c r="K195" s="26"/>
      <c r="L195" s="27">
        <f t="shared" si="63"/>
        <v>0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  <c r="AA195" s="9"/>
      <c r="AB195" s="9"/>
    </row>
    <row r="196" ht="15.75" hidden="1" customHeight="1" outlineLevel="1">
      <c r="A196" s="14">
        <v>46193.0</v>
      </c>
      <c r="B196" s="17">
        <v>0.1</v>
      </c>
      <c r="C196" s="18">
        <v>0.1</v>
      </c>
      <c r="D196" s="19">
        <v>0.05</v>
      </c>
      <c r="E196" s="20">
        <v>3.0</v>
      </c>
      <c r="F196" s="21">
        <v>1000.0</v>
      </c>
      <c r="G196" s="22">
        <f t="shared" si="60"/>
        <v>0</v>
      </c>
      <c r="H196" s="23">
        <f t="shared" si="61"/>
        <v>0</v>
      </c>
      <c r="I196" s="24">
        <f t="shared" si="62"/>
        <v>0</v>
      </c>
      <c r="J196" s="25"/>
      <c r="K196" s="26"/>
      <c r="L196" s="27">
        <f t="shared" si="63"/>
        <v>0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  <c r="AA196" s="9"/>
      <c r="AB196" s="9"/>
    </row>
    <row r="197" ht="15.75" hidden="1" customHeight="1" outlineLevel="1">
      <c r="A197" s="14">
        <v>46194.0</v>
      </c>
      <c r="B197" s="17">
        <v>0.1</v>
      </c>
      <c r="C197" s="18">
        <v>0.1</v>
      </c>
      <c r="D197" s="19">
        <v>0.05</v>
      </c>
      <c r="E197" s="20">
        <v>3.0</v>
      </c>
      <c r="F197" s="21">
        <v>1000.0</v>
      </c>
      <c r="G197" s="22">
        <f t="shared" si="60"/>
        <v>0</v>
      </c>
      <c r="H197" s="23">
        <f t="shared" si="61"/>
        <v>0</v>
      </c>
      <c r="I197" s="24">
        <f t="shared" si="62"/>
        <v>0</v>
      </c>
      <c r="J197" s="25"/>
      <c r="K197" s="26"/>
      <c r="L197" s="27">
        <f t="shared" si="63"/>
        <v>0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  <c r="AA197" s="9"/>
      <c r="AB197" s="9"/>
    </row>
    <row r="198" ht="15.75" hidden="1" customHeight="1" outlineLevel="1">
      <c r="A198" s="14">
        <v>46195.0</v>
      </c>
      <c r="B198" s="17">
        <v>0.1</v>
      </c>
      <c r="C198" s="18">
        <v>0.1</v>
      </c>
      <c r="D198" s="19">
        <v>0.05</v>
      </c>
      <c r="E198" s="20">
        <v>3.0</v>
      </c>
      <c r="F198" s="21">
        <v>1000.0</v>
      </c>
      <c r="G198" s="22">
        <f t="shared" si="60"/>
        <v>0</v>
      </c>
      <c r="H198" s="23">
        <f t="shared" si="61"/>
        <v>0</v>
      </c>
      <c r="I198" s="24">
        <f t="shared" si="62"/>
        <v>0</v>
      </c>
      <c r="J198" s="25"/>
      <c r="K198" s="26"/>
      <c r="L198" s="27">
        <f t="shared" si="63"/>
        <v>0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  <c r="AA198" s="9"/>
      <c r="AB198" s="9"/>
    </row>
    <row r="199" ht="15.75" hidden="1" customHeight="1" outlineLevel="1">
      <c r="A199" s="14">
        <v>46196.0</v>
      </c>
      <c r="B199" s="17">
        <v>0.1</v>
      </c>
      <c r="C199" s="18">
        <v>0.1</v>
      </c>
      <c r="D199" s="19">
        <v>0.05</v>
      </c>
      <c r="E199" s="20">
        <v>3.0</v>
      </c>
      <c r="F199" s="21">
        <v>1000.0</v>
      </c>
      <c r="G199" s="22">
        <f t="shared" si="60"/>
        <v>0</v>
      </c>
      <c r="H199" s="23">
        <f t="shared" si="61"/>
        <v>0</v>
      </c>
      <c r="I199" s="24">
        <f t="shared" si="62"/>
        <v>0</v>
      </c>
      <c r="J199" s="25"/>
      <c r="K199" s="26"/>
      <c r="L199" s="27">
        <f t="shared" si="63"/>
        <v>0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  <c r="AA199" s="9"/>
      <c r="AB199" s="9"/>
    </row>
    <row r="200" ht="15.75" hidden="1" customHeight="1" outlineLevel="1">
      <c r="A200" s="14">
        <v>46197.0</v>
      </c>
      <c r="B200" s="17">
        <v>0.1</v>
      </c>
      <c r="C200" s="18">
        <v>0.1</v>
      </c>
      <c r="D200" s="19">
        <v>0.05</v>
      </c>
      <c r="E200" s="20">
        <v>3.0</v>
      </c>
      <c r="F200" s="21">
        <v>1000.0</v>
      </c>
      <c r="G200" s="22">
        <f t="shared" si="60"/>
        <v>0</v>
      </c>
      <c r="H200" s="23">
        <f t="shared" si="61"/>
        <v>0</v>
      </c>
      <c r="I200" s="24">
        <f t="shared" si="62"/>
        <v>0</v>
      </c>
      <c r="J200" s="25"/>
      <c r="K200" s="26"/>
      <c r="L200" s="27">
        <f t="shared" si="63"/>
        <v>0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  <c r="AA200" s="9"/>
      <c r="AB200" s="9"/>
    </row>
    <row r="201" ht="15.75" hidden="1" customHeight="1" outlineLevel="1">
      <c r="A201" s="14">
        <v>46198.0</v>
      </c>
      <c r="B201" s="17">
        <v>0.1</v>
      </c>
      <c r="C201" s="18">
        <v>0.1</v>
      </c>
      <c r="D201" s="19">
        <v>0.05</v>
      </c>
      <c r="E201" s="20">
        <v>3.0</v>
      </c>
      <c r="F201" s="21">
        <v>1000.0</v>
      </c>
      <c r="G201" s="22">
        <f t="shared" si="60"/>
        <v>0</v>
      </c>
      <c r="H201" s="23">
        <f t="shared" si="61"/>
        <v>0</v>
      </c>
      <c r="I201" s="24">
        <f t="shared" si="62"/>
        <v>0</v>
      </c>
      <c r="J201" s="25"/>
      <c r="K201" s="26"/>
      <c r="L201" s="27">
        <f t="shared" si="63"/>
        <v>0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  <c r="AA201" s="9"/>
      <c r="AB201" s="9"/>
    </row>
    <row r="202" ht="15.75" hidden="1" customHeight="1" outlineLevel="1">
      <c r="A202" s="14">
        <v>46199.0</v>
      </c>
      <c r="B202" s="17">
        <v>0.1</v>
      </c>
      <c r="C202" s="18">
        <v>0.1</v>
      </c>
      <c r="D202" s="19">
        <v>0.05</v>
      </c>
      <c r="E202" s="20">
        <v>3.0</v>
      </c>
      <c r="F202" s="21">
        <v>1000.0</v>
      </c>
      <c r="G202" s="22">
        <f t="shared" si="60"/>
        <v>0</v>
      </c>
      <c r="H202" s="23">
        <f t="shared" si="61"/>
        <v>0</v>
      </c>
      <c r="I202" s="24">
        <f t="shared" si="62"/>
        <v>0</v>
      </c>
      <c r="J202" s="25"/>
      <c r="K202" s="26"/>
      <c r="L202" s="27">
        <f t="shared" si="63"/>
        <v>0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  <c r="AA202" s="9"/>
      <c r="AB202" s="9"/>
    </row>
    <row r="203" ht="15.75" hidden="1" customHeight="1" outlineLevel="1">
      <c r="A203" s="14">
        <v>46200.0</v>
      </c>
      <c r="B203" s="17">
        <v>0.1</v>
      </c>
      <c r="C203" s="18">
        <v>0.1</v>
      </c>
      <c r="D203" s="19">
        <v>0.05</v>
      </c>
      <c r="E203" s="20">
        <v>3.0</v>
      </c>
      <c r="F203" s="21">
        <v>1000.0</v>
      </c>
      <c r="G203" s="22">
        <f t="shared" si="60"/>
        <v>0</v>
      </c>
      <c r="H203" s="23">
        <f t="shared" si="61"/>
        <v>0</v>
      </c>
      <c r="I203" s="24">
        <f t="shared" si="62"/>
        <v>0</v>
      </c>
      <c r="J203" s="25"/>
      <c r="K203" s="26"/>
      <c r="L203" s="27">
        <f t="shared" si="63"/>
        <v>0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  <c r="AA203" s="9"/>
      <c r="AB203" s="9"/>
    </row>
    <row r="204" ht="15.75" hidden="1" customHeight="1" outlineLevel="1">
      <c r="A204" s="14">
        <v>46201.0</v>
      </c>
      <c r="B204" s="17">
        <v>0.1</v>
      </c>
      <c r="C204" s="18">
        <v>0.1</v>
      </c>
      <c r="D204" s="19">
        <v>0.05</v>
      </c>
      <c r="E204" s="20">
        <v>3.0</v>
      </c>
      <c r="F204" s="21">
        <v>1000.0</v>
      </c>
      <c r="G204" s="22">
        <f t="shared" si="60"/>
        <v>0</v>
      </c>
      <c r="H204" s="23">
        <f t="shared" si="61"/>
        <v>0</v>
      </c>
      <c r="I204" s="24">
        <f t="shared" si="62"/>
        <v>0</v>
      </c>
      <c r="J204" s="25"/>
      <c r="K204" s="26"/>
      <c r="L204" s="27">
        <f t="shared" si="63"/>
        <v>0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  <c r="AA204" s="9"/>
      <c r="AB204" s="9"/>
    </row>
    <row r="205" ht="15.75" hidden="1" customHeight="1" outlineLevel="1">
      <c r="A205" s="14">
        <v>46202.0</v>
      </c>
      <c r="B205" s="17">
        <v>0.1</v>
      </c>
      <c r="C205" s="18">
        <v>0.1</v>
      </c>
      <c r="D205" s="19">
        <v>0.05</v>
      </c>
      <c r="E205" s="20">
        <v>3.0</v>
      </c>
      <c r="F205" s="21">
        <v>1000.0</v>
      </c>
      <c r="G205" s="22">
        <f t="shared" si="60"/>
        <v>0</v>
      </c>
      <c r="H205" s="23">
        <f t="shared" si="61"/>
        <v>0</v>
      </c>
      <c r="I205" s="24">
        <f t="shared" si="62"/>
        <v>0</v>
      </c>
      <c r="J205" s="25"/>
      <c r="K205" s="26"/>
      <c r="L205" s="27">
        <f t="shared" si="63"/>
        <v>0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  <c r="AA205" s="9"/>
      <c r="AB205" s="9"/>
    </row>
    <row r="206" ht="15.75" hidden="1" customHeight="1" outlineLevel="1">
      <c r="A206" s="14">
        <v>46203.0</v>
      </c>
      <c r="B206" s="17">
        <v>0.1</v>
      </c>
      <c r="C206" s="18">
        <v>0.1</v>
      </c>
      <c r="D206" s="19">
        <v>0.05</v>
      </c>
      <c r="E206" s="20">
        <v>3.0</v>
      </c>
      <c r="F206" s="21">
        <v>1000.0</v>
      </c>
      <c r="G206" s="22">
        <f t="shared" si="60"/>
        <v>0</v>
      </c>
      <c r="H206" s="23">
        <f t="shared" si="61"/>
        <v>0</v>
      </c>
      <c r="I206" s="24">
        <f t="shared" si="62"/>
        <v>0</v>
      </c>
      <c r="J206" s="25"/>
      <c r="K206" s="26"/>
      <c r="L206" s="27">
        <f t="shared" si="63"/>
        <v>0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  <c r="AA206" s="9"/>
      <c r="AB206" s="9"/>
    </row>
    <row r="207" ht="15.75" hidden="1" customHeight="1" outlineLevel="1">
      <c r="A207" s="28" t="s">
        <v>18</v>
      </c>
      <c r="C207" s="29">
        <f>SUM(C177:C206)</f>
        <v>3</v>
      </c>
      <c r="D207" s="30"/>
      <c r="E207" s="30"/>
      <c r="F207" s="30"/>
      <c r="G207" s="30"/>
      <c r="H207" s="30"/>
      <c r="I207" s="31">
        <f t="shared" ref="I207:K207" si="64">SUM(I177:I206)</f>
        <v>0</v>
      </c>
      <c r="J207" s="32">
        <f t="shared" si="64"/>
        <v>0</v>
      </c>
      <c r="K207" s="30">
        <f t="shared" si="64"/>
        <v>0</v>
      </c>
      <c r="L207" s="32">
        <f>L206</f>
        <v>0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  <c r="AA207" s="9"/>
      <c r="AB207" s="9"/>
    </row>
    <row r="208" ht="15.75" customHeight="1">
      <c r="A208" s="38"/>
      <c r="B208" s="35"/>
      <c r="C208" s="35"/>
      <c r="D208" s="35"/>
      <c r="E208" s="35"/>
      <c r="F208" s="35"/>
      <c r="G208" s="35"/>
      <c r="H208" s="35"/>
      <c r="I208" s="35"/>
      <c r="J208" s="35"/>
      <c r="K208" s="37">
        <f>SUM(K177:K206)</f>
        <v>0</v>
      </c>
      <c r="L208" s="35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  <c r="AA208" s="9"/>
      <c r="AB208" s="9"/>
    </row>
    <row r="209" ht="15.75" customHeight="1" collapsed="1">
      <c r="A209" s="1" t="s">
        <v>25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  <c r="AA209" s="9"/>
      <c r="AB209" s="9"/>
    </row>
    <row r="210" ht="15.75" hidden="1" customHeight="1" outlineLevel="1">
      <c r="A210" s="14" t="s">
        <v>6</v>
      </c>
      <c r="B210" s="1" t="s">
        <v>7</v>
      </c>
      <c r="C210" s="1" t="s">
        <v>8</v>
      </c>
      <c r="D210" s="15" t="s">
        <v>9</v>
      </c>
      <c r="E210" s="15" t="s">
        <v>10</v>
      </c>
      <c r="F210" s="15" t="s">
        <v>11</v>
      </c>
      <c r="G210" s="16" t="s">
        <v>12</v>
      </c>
      <c r="H210" s="15" t="s">
        <v>13</v>
      </c>
      <c r="I210" s="1" t="s">
        <v>14</v>
      </c>
      <c r="J210" s="17" t="s">
        <v>15</v>
      </c>
      <c r="K210" s="1" t="s">
        <v>16</v>
      </c>
      <c r="L210" s="1" t="s">
        <v>17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  <c r="AA210" s="9"/>
      <c r="AB210" s="9"/>
    </row>
    <row r="211" ht="15.75" hidden="1" customHeight="1" outlineLevel="1">
      <c r="A211" s="14">
        <v>46204.0</v>
      </c>
      <c r="B211" s="17">
        <v>0.1</v>
      </c>
      <c r="C211" s="18">
        <v>0.1</v>
      </c>
      <c r="D211" s="19">
        <v>0.05</v>
      </c>
      <c r="E211" s="20">
        <v>3.0</v>
      </c>
      <c r="F211" s="21">
        <v>1000.0</v>
      </c>
      <c r="G211" s="22">
        <f>L207*C211</f>
        <v>0</v>
      </c>
      <c r="H211" s="23">
        <f>L207*D211</f>
        <v>0</v>
      </c>
      <c r="I211" s="24">
        <f>(J211/L207)*100</f>
        <v>0</v>
      </c>
      <c r="J211" s="25"/>
      <c r="K211" s="26"/>
      <c r="L211" s="27">
        <f>(L207+J211)-K211</f>
        <v>0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  <c r="AA211" s="9"/>
      <c r="AB211" s="9"/>
    </row>
    <row r="212" ht="15.75" hidden="1" customHeight="1" outlineLevel="1">
      <c r="A212" s="14">
        <v>46205.0</v>
      </c>
      <c r="B212" s="17">
        <v>0.1</v>
      </c>
      <c r="C212" s="18">
        <v>0.1</v>
      </c>
      <c r="D212" s="19">
        <v>0.05</v>
      </c>
      <c r="E212" s="20">
        <v>3.0</v>
      </c>
      <c r="F212" s="21">
        <v>1000.0</v>
      </c>
      <c r="G212" s="22">
        <f t="shared" ref="G212:G241" si="65">L211*C212</f>
        <v>0</v>
      </c>
      <c r="H212" s="23">
        <f t="shared" ref="H212:H241" si="66">L211*D212</f>
        <v>0</v>
      </c>
      <c r="I212" s="24">
        <f t="shared" ref="I212:I241" si="67">(J212/L211)*100</f>
        <v>0</v>
      </c>
      <c r="J212" s="25"/>
      <c r="K212" s="26"/>
      <c r="L212" s="27">
        <f t="shared" ref="L212:L241" si="68">(L211+J212)-K212</f>
        <v>0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/>
      <c r="AA212" s="9"/>
      <c r="AB212" s="9"/>
    </row>
    <row r="213" ht="15.75" hidden="1" customHeight="1" outlineLevel="1">
      <c r="A213" s="14">
        <v>46206.0</v>
      </c>
      <c r="B213" s="17">
        <v>0.1</v>
      </c>
      <c r="C213" s="18">
        <v>0.1</v>
      </c>
      <c r="D213" s="19">
        <v>0.05</v>
      </c>
      <c r="E213" s="20">
        <v>3.0</v>
      </c>
      <c r="F213" s="21">
        <v>1000.0</v>
      </c>
      <c r="G213" s="22">
        <f t="shared" si="65"/>
        <v>0</v>
      </c>
      <c r="H213" s="23">
        <f t="shared" si="66"/>
        <v>0</v>
      </c>
      <c r="I213" s="24">
        <f t="shared" si="67"/>
        <v>0</v>
      </c>
      <c r="J213" s="25"/>
      <c r="K213" s="26"/>
      <c r="L213" s="27">
        <f t="shared" si="68"/>
        <v>0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"/>
      <c r="AA213" s="9"/>
      <c r="AB213" s="9"/>
    </row>
    <row r="214" ht="15.75" hidden="1" customHeight="1" outlineLevel="1">
      <c r="A214" s="14">
        <v>46207.0</v>
      </c>
      <c r="B214" s="17">
        <v>0.1</v>
      </c>
      <c r="C214" s="18">
        <v>0.1</v>
      </c>
      <c r="D214" s="19">
        <v>0.05</v>
      </c>
      <c r="E214" s="20">
        <v>3.0</v>
      </c>
      <c r="F214" s="21">
        <v>1000.0</v>
      </c>
      <c r="G214" s="22">
        <f t="shared" si="65"/>
        <v>0</v>
      </c>
      <c r="H214" s="23">
        <f t="shared" si="66"/>
        <v>0</v>
      </c>
      <c r="I214" s="24">
        <f t="shared" si="67"/>
        <v>0</v>
      </c>
      <c r="J214" s="25"/>
      <c r="K214" s="26"/>
      <c r="L214" s="27">
        <f t="shared" si="68"/>
        <v>0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  <c r="AA214" s="9"/>
      <c r="AB214" s="9"/>
    </row>
    <row r="215" ht="15.75" hidden="1" customHeight="1" outlineLevel="1">
      <c r="A215" s="14">
        <v>46208.0</v>
      </c>
      <c r="B215" s="17">
        <v>0.1</v>
      </c>
      <c r="C215" s="18">
        <v>0.1</v>
      </c>
      <c r="D215" s="19">
        <v>0.05</v>
      </c>
      <c r="E215" s="20">
        <v>3.0</v>
      </c>
      <c r="F215" s="21">
        <v>1000.0</v>
      </c>
      <c r="G215" s="22">
        <f t="shared" si="65"/>
        <v>0</v>
      </c>
      <c r="H215" s="23">
        <f t="shared" si="66"/>
        <v>0</v>
      </c>
      <c r="I215" s="24">
        <f t="shared" si="67"/>
        <v>0</v>
      </c>
      <c r="J215" s="25"/>
      <c r="K215" s="26"/>
      <c r="L215" s="27">
        <f t="shared" si="68"/>
        <v>0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  <c r="AA215" s="9"/>
      <c r="AB215" s="9"/>
    </row>
    <row r="216" ht="15.75" hidden="1" customHeight="1" outlineLevel="1">
      <c r="A216" s="14">
        <v>46209.0</v>
      </c>
      <c r="B216" s="17">
        <v>0.1</v>
      </c>
      <c r="C216" s="18">
        <v>0.1</v>
      </c>
      <c r="D216" s="19">
        <v>0.05</v>
      </c>
      <c r="E216" s="20">
        <v>3.0</v>
      </c>
      <c r="F216" s="21">
        <v>1000.0</v>
      </c>
      <c r="G216" s="22">
        <f t="shared" si="65"/>
        <v>0</v>
      </c>
      <c r="H216" s="23">
        <f t="shared" si="66"/>
        <v>0</v>
      </c>
      <c r="I216" s="24">
        <f t="shared" si="67"/>
        <v>0</v>
      </c>
      <c r="J216" s="25"/>
      <c r="K216" s="26"/>
      <c r="L216" s="27">
        <f t="shared" si="68"/>
        <v>0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  <c r="AA216" s="9"/>
      <c r="AB216" s="9"/>
    </row>
    <row r="217" ht="15.75" hidden="1" customHeight="1" outlineLevel="1">
      <c r="A217" s="14">
        <v>46210.0</v>
      </c>
      <c r="B217" s="17">
        <v>0.1</v>
      </c>
      <c r="C217" s="18">
        <v>0.1</v>
      </c>
      <c r="D217" s="19">
        <v>0.05</v>
      </c>
      <c r="E217" s="20">
        <v>3.0</v>
      </c>
      <c r="F217" s="21">
        <v>1000.0</v>
      </c>
      <c r="G217" s="22">
        <f t="shared" si="65"/>
        <v>0</v>
      </c>
      <c r="H217" s="23">
        <f t="shared" si="66"/>
        <v>0</v>
      </c>
      <c r="I217" s="24">
        <f t="shared" si="67"/>
        <v>0</v>
      </c>
      <c r="J217" s="25"/>
      <c r="K217" s="26"/>
      <c r="L217" s="27">
        <f t="shared" si="68"/>
        <v>0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  <c r="AA217" s="9"/>
      <c r="AB217" s="9"/>
    </row>
    <row r="218" ht="15.75" hidden="1" customHeight="1" outlineLevel="1">
      <c r="A218" s="14">
        <v>46211.0</v>
      </c>
      <c r="B218" s="17">
        <v>0.1</v>
      </c>
      <c r="C218" s="18">
        <v>0.1</v>
      </c>
      <c r="D218" s="19">
        <v>0.05</v>
      </c>
      <c r="E218" s="20">
        <v>3.0</v>
      </c>
      <c r="F218" s="21">
        <v>1000.0</v>
      </c>
      <c r="G218" s="22">
        <f t="shared" si="65"/>
        <v>0</v>
      </c>
      <c r="H218" s="23">
        <f t="shared" si="66"/>
        <v>0</v>
      </c>
      <c r="I218" s="24">
        <f t="shared" si="67"/>
        <v>0</v>
      </c>
      <c r="J218" s="25"/>
      <c r="K218" s="26"/>
      <c r="L218" s="27">
        <f t="shared" si="68"/>
        <v>0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  <c r="AA218" s="9"/>
      <c r="AB218" s="9"/>
    </row>
    <row r="219" ht="15.75" hidden="1" customHeight="1" outlineLevel="1">
      <c r="A219" s="14">
        <v>46212.0</v>
      </c>
      <c r="B219" s="17">
        <v>0.1</v>
      </c>
      <c r="C219" s="18">
        <v>0.1</v>
      </c>
      <c r="D219" s="19">
        <v>0.05</v>
      </c>
      <c r="E219" s="20">
        <v>3.0</v>
      </c>
      <c r="F219" s="21">
        <v>1000.0</v>
      </c>
      <c r="G219" s="22">
        <f t="shared" si="65"/>
        <v>0</v>
      </c>
      <c r="H219" s="23">
        <f t="shared" si="66"/>
        <v>0</v>
      </c>
      <c r="I219" s="24">
        <f t="shared" si="67"/>
        <v>0</v>
      </c>
      <c r="J219" s="25"/>
      <c r="K219" s="26"/>
      <c r="L219" s="27">
        <f t="shared" si="68"/>
        <v>0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  <c r="AA219" s="9"/>
      <c r="AB219" s="9"/>
    </row>
    <row r="220" ht="15.75" hidden="1" customHeight="1" outlineLevel="1">
      <c r="A220" s="14">
        <v>46213.0</v>
      </c>
      <c r="B220" s="17">
        <v>0.1</v>
      </c>
      <c r="C220" s="18">
        <v>0.1</v>
      </c>
      <c r="D220" s="19">
        <v>0.05</v>
      </c>
      <c r="E220" s="20">
        <v>3.0</v>
      </c>
      <c r="F220" s="21">
        <v>1000.0</v>
      </c>
      <c r="G220" s="22">
        <f t="shared" si="65"/>
        <v>0</v>
      </c>
      <c r="H220" s="23">
        <f t="shared" si="66"/>
        <v>0</v>
      </c>
      <c r="I220" s="24">
        <f t="shared" si="67"/>
        <v>0</v>
      </c>
      <c r="J220" s="25"/>
      <c r="K220" s="26"/>
      <c r="L220" s="27">
        <f t="shared" si="68"/>
        <v>0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"/>
      <c r="AA220" s="9"/>
      <c r="AB220" s="9"/>
    </row>
    <row r="221" ht="15.75" hidden="1" customHeight="1" outlineLevel="1">
      <c r="A221" s="14">
        <v>46214.0</v>
      </c>
      <c r="B221" s="17">
        <v>0.1</v>
      </c>
      <c r="C221" s="18">
        <v>0.1</v>
      </c>
      <c r="D221" s="19">
        <v>0.05</v>
      </c>
      <c r="E221" s="20">
        <v>3.0</v>
      </c>
      <c r="F221" s="21">
        <v>1000.0</v>
      </c>
      <c r="G221" s="22">
        <f t="shared" si="65"/>
        <v>0</v>
      </c>
      <c r="H221" s="23">
        <f t="shared" si="66"/>
        <v>0</v>
      </c>
      <c r="I221" s="24">
        <f t="shared" si="67"/>
        <v>0</v>
      </c>
      <c r="J221" s="25"/>
      <c r="K221" s="26"/>
      <c r="L221" s="27">
        <f t="shared" si="68"/>
        <v>0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  <c r="AA221" s="9"/>
      <c r="AB221" s="9"/>
    </row>
    <row r="222" ht="15.75" hidden="1" customHeight="1" outlineLevel="1">
      <c r="A222" s="14">
        <v>46215.0</v>
      </c>
      <c r="B222" s="17">
        <v>0.1</v>
      </c>
      <c r="C222" s="18">
        <v>0.1</v>
      </c>
      <c r="D222" s="19">
        <v>0.05</v>
      </c>
      <c r="E222" s="20">
        <v>3.0</v>
      </c>
      <c r="F222" s="21">
        <v>1000.0</v>
      </c>
      <c r="G222" s="22">
        <f t="shared" si="65"/>
        <v>0</v>
      </c>
      <c r="H222" s="23">
        <f t="shared" si="66"/>
        <v>0</v>
      </c>
      <c r="I222" s="24">
        <f t="shared" si="67"/>
        <v>0</v>
      </c>
      <c r="J222" s="25"/>
      <c r="K222" s="26"/>
      <c r="L222" s="27">
        <f t="shared" si="68"/>
        <v>0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  <c r="AA222" s="9"/>
      <c r="AB222" s="9"/>
    </row>
    <row r="223" ht="15.75" hidden="1" customHeight="1" outlineLevel="1">
      <c r="A223" s="14">
        <v>46216.0</v>
      </c>
      <c r="B223" s="17">
        <v>0.1</v>
      </c>
      <c r="C223" s="18">
        <v>0.1</v>
      </c>
      <c r="D223" s="19">
        <v>0.05</v>
      </c>
      <c r="E223" s="20">
        <v>3.0</v>
      </c>
      <c r="F223" s="21">
        <v>1000.0</v>
      </c>
      <c r="G223" s="22">
        <f t="shared" si="65"/>
        <v>0</v>
      </c>
      <c r="H223" s="23">
        <f t="shared" si="66"/>
        <v>0</v>
      </c>
      <c r="I223" s="24">
        <f t="shared" si="67"/>
        <v>0</v>
      </c>
      <c r="J223" s="25"/>
      <c r="K223" s="26"/>
      <c r="L223" s="27">
        <f t="shared" si="68"/>
        <v>0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  <c r="AA223" s="9"/>
      <c r="AB223" s="9"/>
    </row>
    <row r="224" ht="15.75" hidden="1" customHeight="1" outlineLevel="1">
      <c r="A224" s="14">
        <v>46217.0</v>
      </c>
      <c r="B224" s="17">
        <v>0.1</v>
      </c>
      <c r="C224" s="18">
        <v>0.1</v>
      </c>
      <c r="D224" s="19">
        <v>0.05</v>
      </c>
      <c r="E224" s="20">
        <v>3.0</v>
      </c>
      <c r="F224" s="21">
        <v>1000.0</v>
      </c>
      <c r="G224" s="22">
        <f t="shared" si="65"/>
        <v>0</v>
      </c>
      <c r="H224" s="23">
        <f t="shared" si="66"/>
        <v>0</v>
      </c>
      <c r="I224" s="24">
        <f t="shared" si="67"/>
        <v>0</v>
      </c>
      <c r="J224" s="25"/>
      <c r="K224" s="26"/>
      <c r="L224" s="27">
        <f t="shared" si="68"/>
        <v>0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  <c r="AA224" s="9"/>
      <c r="AB224" s="9"/>
    </row>
    <row r="225" ht="15.75" hidden="1" customHeight="1" outlineLevel="1">
      <c r="A225" s="14">
        <v>46218.0</v>
      </c>
      <c r="B225" s="17">
        <v>0.1</v>
      </c>
      <c r="C225" s="18">
        <v>0.1</v>
      </c>
      <c r="D225" s="19">
        <v>0.05</v>
      </c>
      <c r="E225" s="20">
        <v>3.0</v>
      </c>
      <c r="F225" s="21">
        <v>1000.0</v>
      </c>
      <c r="G225" s="22">
        <f t="shared" si="65"/>
        <v>0</v>
      </c>
      <c r="H225" s="23">
        <f t="shared" si="66"/>
        <v>0</v>
      </c>
      <c r="I225" s="24">
        <f t="shared" si="67"/>
        <v>0</v>
      </c>
      <c r="J225" s="25"/>
      <c r="K225" s="26"/>
      <c r="L225" s="27">
        <f t="shared" si="68"/>
        <v>0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  <c r="AA225" s="9"/>
      <c r="AB225" s="9"/>
    </row>
    <row r="226" ht="15.75" hidden="1" customHeight="1" outlineLevel="1">
      <c r="A226" s="14">
        <v>46219.0</v>
      </c>
      <c r="B226" s="17">
        <v>0.1</v>
      </c>
      <c r="C226" s="18">
        <v>0.1</v>
      </c>
      <c r="D226" s="19">
        <v>0.05</v>
      </c>
      <c r="E226" s="20">
        <v>3.0</v>
      </c>
      <c r="F226" s="21">
        <v>1000.0</v>
      </c>
      <c r="G226" s="22">
        <f t="shared" si="65"/>
        <v>0</v>
      </c>
      <c r="H226" s="23">
        <f t="shared" si="66"/>
        <v>0</v>
      </c>
      <c r="I226" s="24">
        <f t="shared" si="67"/>
        <v>0</v>
      </c>
      <c r="J226" s="25"/>
      <c r="K226" s="26"/>
      <c r="L226" s="27">
        <f t="shared" si="68"/>
        <v>0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  <c r="AA226" s="9"/>
      <c r="AB226" s="9"/>
    </row>
    <row r="227" ht="15.75" hidden="1" customHeight="1" outlineLevel="1">
      <c r="A227" s="14">
        <v>46220.0</v>
      </c>
      <c r="B227" s="17">
        <v>0.1</v>
      </c>
      <c r="C227" s="18">
        <v>0.1</v>
      </c>
      <c r="D227" s="19">
        <v>0.05</v>
      </c>
      <c r="E227" s="20">
        <v>3.0</v>
      </c>
      <c r="F227" s="21">
        <v>1000.0</v>
      </c>
      <c r="G227" s="22">
        <f t="shared" si="65"/>
        <v>0</v>
      </c>
      <c r="H227" s="23">
        <f t="shared" si="66"/>
        <v>0</v>
      </c>
      <c r="I227" s="24">
        <f t="shared" si="67"/>
        <v>0</v>
      </c>
      <c r="J227" s="25"/>
      <c r="K227" s="26"/>
      <c r="L227" s="27">
        <f t="shared" si="68"/>
        <v>0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  <c r="AA227" s="9"/>
      <c r="AB227" s="9"/>
    </row>
    <row r="228" ht="15.75" hidden="1" customHeight="1" outlineLevel="1">
      <c r="A228" s="14">
        <v>46221.0</v>
      </c>
      <c r="B228" s="17">
        <v>0.1</v>
      </c>
      <c r="C228" s="18">
        <v>0.1</v>
      </c>
      <c r="D228" s="19">
        <v>0.05</v>
      </c>
      <c r="E228" s="20">
        <v>3.0</v>
      </c>
      <c r="F228" s="21">
        <v>1000.0</v>
      </c>
      <c r="G228" s="22">
        <f t="shared" si="65"/>
        <v>0</v>
      </c>
      <c r="H228" s="23">
        <f t="shared" si="66"/>
        <v>0</v>
      </c>
      <c r="I228" s="24">
        <f t="shared" si="67"/>
        <v>0</v>
      </c>
      <c r="J228" s="25"/>
      <c r="K228" s="26"/>
      <c r="L228" s="27">
        <f t="shared" si="68"/>
        <v>0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  <c r="AA228" s="9"/>
      <c r="AB228" s="9"/>
    </row>
    <row r="229" ht="15.75" hidden="1" customHeight="1" outlineLevel="1">
      <c r="A229" s="14">
        <v>46222.0</v>
      </c>
      <c r="B229" s="17">
        <v>0.1</v>
      </c>
      <c r="C229" s="18">
        <v>0.1</v>
      </c>
      <c r="D229" s="19">
        <v>0.05</v>
      </c>
      <c r="E229" s="20">
        <v>3.0</v>
      </c>
      <c r="F229" s="21">
        <v>1000.0</v>
      </c>
      <c r="G229" s="22">
        <f t="shared" si="65"/>
        <v>0</v>
      </c>
      <c r="H229" s="23">
        <f t="shared" si="66"/>
        <v>0</v>
      </c>
      <c r="I229" s="24">
        <f t="shared" si="67"/>
        <v>0</v>
      </c>
      <c r="J229" s="25"/>
      <c r="K229" s="26"/>
      <c r="L229" s="27">
        <f t="shared" si="68"/>
        <v>0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  <c r="AA229" s="9"/>
      <c r="AB229" s="9"/>
    </row>
    <row r="230" ht="15.75" hidden="1" customHeight="1" outlineLevel="1">
      <c r="A230" s="14">
        <v>46223.0</v>
      </c>
      <c r="B230" s="17">
        <v>0.1</v>
      </c>
      <c r="C230" s="18">
        <v>0.1</v>
      </c>
      <c r="D230" s="19">
        <v>0.05</v>
      </c>
      <c r="E230" s="20">
        <v>3.0</v>
      </c>
      <c r="F230" s="21">
        <v>1000.0</v>
      </c>
      <c r="G230" s="22">
        <f t="shared" si="65"/>
        <v>0</v>
      </c>
      <c r="H230" s="23">
        <f t="shared" si="66"/>
        <v>0</v>
      </c>
      <c r="I230" s="24">
        <f t="shared" si="67"/>
        <v>0</v>
      </c>
      <c r="J230" s="25"/>
      <c r="K230" s="26"/>
      <c r="L230" s="27">
        <f t="shared" si="68"/>
        <v>0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  <c r="AA230" s="9"/>
      <c r="AB230" s="9"/>
    </row>
    <row r="231" ht="15.75" hidden="1" customHeight="1" outlineLevel="1">
      <c r="A231" s="14">
        <v>46224.0</v>
      </c>
      <c r="B231" s="17">
        <v>0.1</v>
      </c>
      <c r="C231" s="18">
        <v>0.1</v>
      </c>
      <c r="D231" s="19">
        <v>0.05</v>
      </c>
      <c r="E231" s="20">
        <v>3.0</v>
      </c>
      <c r="F231" s="21">
        <v>1000.0</v>
      </c>
      <c r="G231" s="22">
        <f t="shared" si="65"/>
        <v>0</v>
      </c>
      <c r="H231" s="23">
        <f t="shared" si="66"/>
        <v>0</v>
      </c>
      <c r="I231" s="24">
        <f t="shared" si="67"/>
        <v>0</v>
      </c>
      <c r="J231" s="25"/>
      <c r="K231" s="26"/>
      <c r="L231" s="27">
        <f t="shared" si="68"/>
        <v>0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  <c r="AA231" s="9"/>
      <c r="AB231" s="9"/>
    </row>
    <row r="232" ht="15.75" hidden="1" customHeight="1" outlineLevel="1">
      <c r="A232" s="14">
        <v>46225.0</v>
      </c>
      <c r="B232" s="17">
        <v>0.1</v>
      </c>
      <c r="C232" s="18">
        <v>0.1</v>
      </c>
      <c r="D232" s="19">
        <v>0.05</v>
      </c>
      <c r="E232" s="20">
        <v>3.0</v>
      </c>
      <c r="F232" s="21">
        <v>1000.0</v>
      </c>
      <c r="G232" s="22">
        <f t="shared" si="65"/>
        <v>0</v>
      </c>
      <c r="H232" s="23">
        <f t="shared" si="66"/>
        <v>0</v>
      </c>
      <c r="I232" s="24">
        <f t="shared" si="67"/>
        <v>0</v>
      </c>
      <c r="J232" s="25"/>
      <c r="K232" s="26"/>
      <c r="L232" s="27">
        <f t="shared" si="68"/>
        <v>0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  <c r="AA232" s="9"/>
      <c r="AB232" s="9"/>
    </row>
    <row r="233" ht="15.75" hidden="1" customHeight="1" outlineLevel="1">
      <c r="A233" s="14">
        <v>46226.0</v>
      </c>
      <c r="B233" s="17">
        <v>0.1</v>
      </c>
      <c r="C233" s="18">
        <v>0.1</v>
      </c>
      <c r="D233" s="19">
        <v>0.05</v>
      </c>
      <c r="E233" s="20">
        <v>3.0</v>
      </c>
      <c r="F233" s="21">
        <v>1000.0</v>
      </c>
      <c r="G233" s="22">
        <f t="shared" si="65"/>
        <v>0</v>
      </c>
      <c r="H233" s="23">
        <f t="shared" si="66"/>
        <v>0</v>
      </c>
      <c r="I233" s="24">
        <f t="shared" si="67"/>
        <v>0</v>
      </c>
      <c r="J233" s="25"/>
      <c r="K233" s="26"/>
      <c r="L233" s="27">
        <f t="shared" si="68"/>
        <v>0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/>
      <c r="AA233" s="9"/>
      <c r="AB233" s="9"/>
    </row>
    <row r="234" ht="15.75" hidden="1" customHeight="1" outlineLevel="1">
      <c r="A234" s="14">
        <v>46227.0</v>
      </c>
      <c r="B234" s="17">
        <v>0.1</v>
      </c>
      <c r="C234" s="18">
        <v>0.1</v>
      </c>
      <c r="D234" s="19">
        <v>0.05</v>
      </c>
      <c r="E234" s="20">
        <v>3.0</v>
      </c>
      <c r="F234" s="21">
        <v>1000.0</v>
      </c>
      <c r="G234" s="22">
        <f t="shared" si="65"/>
        <v>0</v>
      </c>
      <c r="H234" s="23">
        <f t="shared" si="66"/>
        <v>0</v>
      </c>
      <c r="I234" s="24">
        <f t="shared" si="67"/>
        <v>0</v>
      </c>
      <c r="J234" s="25"/>
      <c r="K234" s="26"/>
      <c r="L234" s="27">
        <f t="shared" si="68"/>
        <v>0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  <c r="AA234" s="9"/>
      <c r="AB234" s="9"/>
    </row>
    <row r="235" ht="15.75" hidden="1" customHeight="1" outlineLevel="1">
      <c r="A235" s="14">
        <v>46228.0</v>
      </c>
      <c r="B235" s="17">
        <v>0.1</v>
      </c>
      <c r="C235" s="18">
        <v>0.1</v>
      </c>
      <c r="D235" s="19">
        <v>0.05</v>
      </c>
      <c r="E235" s="20">
        <v>3.0</v>
      </c>
      <c r="F235" s="21">
        <v>1000.0</v>
      </c>
      <c r="G235" s="22">
        <f t="shared" si="65"/>
        <v>0</v>
      </c>
      <c r="H235" s="23">
        <f t="shared" si="66"/>
        <v>0</v>
      </c>
      <c r="I235" s="24">
        <f t="shared" si="67"/>
        <v>0</v>
      </c>
      <c r="J235" s="25"/>
      <c r="K235" s="26"/>
      <c r="L235" s="27">
        <f t="shared" si="68"/>
        <v>0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  <c r="AA235" s="9"/>
      <c r="AB235" s="9"/>
    </row>
    <row r="236" ht="15.75" hidden="1" customHeight="1" outlineLevel="1">
      <c r="A236" s="14">
        <v>46229.0</v>
      </c>
      <c r="B236" s="17">
        <v>0.1</v>
      </c>
      <c r="C236" s="18">
        <v>0.1</v>
      </c>
      <c r="D236" s="19">
        <v>0.05</v>
      </c>
      <c r="E236" s="20">
        <v>3.0</v>
      </c>
      <c r="F236" s="21">
        <v>1000.0</v>
      </c>
      <c r="G236" s="22">
        <f t="shared" si="65"/>
        <v>0</v>
      </c>
      <c r="H236" s="23">
        <f t="shared" si="66"/>
        <v>0</v>
      </c>
      <c r="I236" s="24">
        <f t="shared" si="67"/>
        <v>0</v>
      </c>
      <c r="J236" s="25"/>
      <c r="K236" s="26"/>
      <c r="L236" s="27">
        <f t="shared" si="68"/>
        <v>0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  <c r="AA236" s="9"/>
      <c r="AB236" s="9"/>
    </row>
    <row r="237" ht="15.75" hidden="1" customHeight="1" outlineLevel="1">
      <c r="A237" s="14">
        <v>46230.0</v>
      </c>
      <c r="B237" s="17">
        <v>0.1</v>
      </c>
      <c r="C237" s="18">
        <v>0.1</v>
      </c>
      <c r="D237" s="19">
        <v>0.05</v>
      </c>
      <c r="E237" s="20">
        <v>3.0</v>
      </c>
      <c r="F237" s="21">
        <v>1000.0</v>
      </c>
      <c r="G237" s="22">
        <f t="shared" si="65"/>
        <v>0</v>
      </c>
      <c r="H237" s="23">
        <f t="shared" si="66"/>
        <v>0</v>
      </c>
      <c r="I237" s="24">
        <f t="shared" si="67"/>
        <v>0</v>
      </c>
      <c r="J237" s="25"/>
      <c r="K237" s="26"/>
      <c r="L237" s="27">
        <f t="shared" si="68"/>
        <v>0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  <c r="AA237" s="9"/>
      <c r="AB237" s="9"/>
    </row>
    <row r="238" ht="15.75" hidden="1" customHeight="1" outlineLevel="1">
      <c r="A238" s="14">
        <v>46231.0</v>
      </c>
      <c r="B238" s="17">
        <v>0.1</v>
      </c>
      <c r="C238" s="18">
        <v>0.1</v>
      </c>
      <c r="D238" s="19">
        <v>0.05</v>
      </c>
      <c r="E238" s="20">
        <v>3.0</v>
      </c>
      <c r="F238" s="21">
        <v>1000.0</v>
      </c>
      <c r="G238" s="22">
        <f t="shared" si="65"/>
        <v>0</v>
      </c>
      <c r="H238" s="23">
        <f t="shared" si="66"/>
        <v>0</v>
      </c>
      <c r="I238" s="24">
        <f t="shared" si="67"/>
        <v>0</v>
      </c>
      <c r="J238" s="25"/>
      <c r="K238" s="26"/>
      <c r="L238" s="27">
        <f t="shared" si="68"/>
        <v>0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  <c r="AA238" s="9"/>
      <c r="AB238" s="9"/>
    </row>
    <row r="239" ht="15.75" hidden="1" customHeight="1" outlineLevel="1">
      <c r="A239" s="14">
        <v>46232.0</v>
      </c>
      <c r="B239" s="17">
        <v>0.1</v>
      </c>
      <c r="C239" s="18">
        <v>0.1</v>
      </c>
      <c r="D239" s="19">
        <v>0.05</v>
      </c>
      <c r="E239" s="20">
        <v>3.0</v>
      </c>
      <c r="F239" s="21">
        <v>1000.0</v>
      </c>
      <c r="G239" s="22">
        <f t="shared" si="65"/>
        <v>0</v>
      </c>
      <c r="H239" s="23">
        <f t="shared" si="66"/>
        <v>0</v>
      </c>
      <c r="I239" s="24">
        <f t="shared" si="67"/>
        <v>0</v>
      </c>
      <c r="J239" s="25"/>
      <c r="K239" s="26"/>
      <c r="L239" s="27">
        <f t="shared" si="68"/>
        <v>0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  <c r="AA239" s="9"/>
      <c r="AB239" s="9"/>
    </row>
    <row r="240" ht="15.75" hidden="1" customHeight="1" outlineLevel="1">
      <c r="A240" s="14">
        <v>46233.0</v>
      </c>
      <c r="B240" s="17">
        <v>0.1</v>
      </c>
      <c r="C240" s="18">
        <v>0.1</v>
      </c>
      <c r="D240" s="19">
        <v>0.05</v>
      </c>
      <c r="E240" s="20">
        <v>3.0</v>
      </c>
      <c r="F240" s="21">
        <v>1000.0</v>
      </c>
      <c r="G240" s="22">
        <f t="shared" si="65"/>
        <v>0</v>
      </c>
      <c r="H240" s="23">
        <f t="shared" si="66"/>
        <v>0</v>
      </c>
      <c r="I240" s="24">
        <f t="shared" si="67"/>
        <v>0</v>
      </c>
      <c r="J240" s="25"/>
      <c r="K240" s="26"/>
      <c r="L240" s="27">
        <f t="shared" si="68"/>
        <v>0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/>
      <c r="AA240" s="9"/>
      <c r="AB240" s="9"/>
    </row>
    <row r="241" ht="15.75" hidden="1" customHeight="1" outlineLevel="1">
      <c r="A241" s="14">
        <v>46234.0</v>
      </c>
      <c r="B241" s="17">
        <v>0.1</v>
      </c>
      <c r="C241" s="18">
        <v>0.1</v>
      </c>
      <c r="D241" s="19">
        <v>0.05</v>
      </c>
      <c r="E241" s="20">
        <v>3.0</v>
      </c>
      <c r="F241" s="21">
        <v>1000.0</v>
      </c>
      <c r="G241" s="22">
        <f t="shared" si="65"/>
        <v>0</v>
      </c>
      <c r="H241" s="23">
        <f t="shared" si="66"/>
        <v>0</v>
      </c>
      <c r="I241" s="24">
        <f t="shared" si="67"/>
        <v>0</v>
      </c>
      <c r="J241" s="25"/>
      <c r="K241" s="26"/>
      <c r="L241" s="27">
        <f t="shared" si="68"/>
        <v>0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  <c r="AA241" s="9"/>
      <c r="AB241" s="9"/>
    </row>
    <row r="242" ht="15.75" hidden="1" customHeight="1" outlineLevel="1">
      <c r="A242" s="28" t="s">
        <v>18</v>
      </c>
      <c r="C242" s="29">
        <f>SUM(C211:C241)</f>
        <v>3.1</v>
      </c>
      <c r="D242" s="30"/>
      <c r="E242" s="30"/>
      <c r="F242" s="30"/>
      <c r="G242" s="30"/>
      <c r="H242" s="30"/>
      <c r="I242" s="31">
        <f t="shared" ref="I242:K242" si="69">SUM(I211:I241)</f>
        <v>0</v>
      </c>
      <c r="J242" s="32">
        <f t="shared" si="69"/>
        <v>0</v>
      </c>
      <c r="K242" s="30">
        <f t="shared" si="69"/>
        <v>0</v>
      </c>
      <c r="L242" s="32">
        <f>L241</f>
        <v>0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  <c r="AA242" s="9"/>
      <c r="AB242" s="9"/>
    </row>
    <row r="243" ht="15.75" customHeight="1">
      <c r="A243" s="38"/>
      <c r="B243" s="35"/>
      <c r="C243" s="35"/>
      <c r="D243" s="35"/>
      <c r="E243" s="35"/>
      <c r="F243" s="35"/>
      <c r="G243" s="35"/>
      <c r="H243" s="35"/>
      <c r="I243" s="35"/>
      <c r="J243" s="35"/>
      <c r="K243" s="37">
        <f>SUM(K211:K241)</f>
        <v>0</v>
      </c>
      <c r="L243" s="35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  <c r="AA243" s="9"/>
      <c r="AB243" s="9"/>
    </row>
    <row r="244" ht="15.75" customHeight="1" collapsed="1">
      <c r="A244" s="1" t="s">
        <v>26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  <c r="AA244" s="9"/>
      <c r="AB244" s="9"/>
    </row>
    <row r="245" ht="15.75" hidden="1" customHeight="1" outlineLevel="1">
      <c r="A245" s="14" t="s">
        <v>6</v>
      </c>
      <c r="B245" s="1" t="s">
        <v>7</v>
      </c>
      <c r="C245" s="1" t="s">
        <v>8</v>
      </c>
      <c r="D245" s="15" t="s">
        <v>9</v>
      </c>
      <c r="E245" s="15" t="s">
        <v>10</v>
      </c>
      <c r="F245" s="15" t="s">
        <v>11</v>
      </c>
      <c r="G245" s="16" t="s">
        <v>12</v>
      </c>
      <c r="H245" s="15" t="s">
        <v>13</v>
      </c>
      <c r="I245" s="1" t="s">
        <v>14</v>
      </c>
      <c r="J245" s="17" t="s">
        <v>15</v>
      </c>
      <c r="K245" s="1" t="s">
        <v>16</v>
      </c>
      <c r="L245" s="1" t="s">
        <v>17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  <c r="AA245" s="9"/>
      <c r="AB245" s="9"/>
    </row>
    <row r="246" ht="15.75" hidden="1" customHeight="1" outlineLevel="1">
      <c r="A246" s="14">
        <v>46235.0</v>
      </c>
      <c r="B246" s="17">
        <v>0.1</v>
      </c>
      <c r="C246" s="18">
        <v>0.1</v>
      </c>
      <c r="D246" s="19">
        <v>0.05</v>
      </c>
      <c r="E246" s="20">
        <v>3.0</v>
      </c>
      <c r="F246" s="21">
        <v>1000.0</v>
      </c>
      <c r="G246" s="22">
        <f>L242*C246</f>
        <v>0</v>
      </c>
      <c r="H246" s="23">
        <f>L242*D246</f>
        <v>0</v>
      </c>
      <c r="I246" s="24">
        <f>(J246/L242)*100</f>
        <v>0</v>
      </c>
      <c r="J246" s="25"/>
      <c r="K246" s="26"/>
      <c r="L246" s="27">
        <f>(L242+J246)-K246</f>
        <v>0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  <c r="AA246" s="9"/>
      <c r="AB246" s="9"/>
    </row>
    <row r="247" ht="15.75" hidden="1" customHeight="1" outlineLevel="1">
      <c r="A247" s="14">
        <v>46236.0</v>
      </c>
      <c r="B247" s="17">
        <v>0.1</v>
      </c>
      <c r="C247" s="18">
        <v>0.1</v>
      </c>
      <c r="D247" s="19">
        <v>0.05</v>
      </c>
      <c r="E247" s="20">
        <v>3.0</v>
      </c>
      <c r="F247" s="21">
        <v>1000.0</v>
      </c>
      <c r="G247" s="22">
        <f t="shared" ref="G247:G276" si="70">L246*C247</f>
        <v>0</v>
      </c>
      <c r="H247" s="23">
        <f t="shared" ref="H247:H276" si="71">L246*D247</f>
        <v>0</v>
      </c>
      <c r="I247" s="24">
        <f t="shared" ref="I247:I276" si="72">(J247/L246)*100</f>
        <v>0</v>
      </c>
      <c r="J247" s="25"/>
      <c r="K247" s="26"/>
      <c r="L247" s="27">
        <f t="shared" ref="L247:L276" si="73">(L246+J247)-K247</f>
        <v>0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  <c r="AA247" s="9"/>
      <c r="AB247" s="9"/>
    </row>
    <row r="248" ht="15.75" hidden="1" customHeight="1" outlineLevel="1">
      <c r="A248" s="14">
        <v>46237.0</v>
      </c>
      <c r="B248" s="17">
        <v>0.1</v>
      </c>
      <c r="C248" s="18">
        <v>0.1</v>
      </c>
      <c r="D248" s="19">
        <v>0.05</v>
      </c>
      <c r="E248" s="20">
        <v>3.0</v>
      </c>
      <c r="F248" s="21">
        <v>1000.0</v>
      </c>
      <c r="G248" s="22">
        <f t="shared" si="70"/>
        <v>0</v>
      </c>
      <c r="H248" s="23">
        <f t="shared" si="71"/>
        <v>0</v>
      </c>
      <c r="I248" s="24">
        <f t="shared" si="72"/>
        <v>0</v>
      </c>
      <c r="J248" s="25"/>
      <c r="K248" s="26"/>
      <c r="L248" s="27">
        <f t="shared" si="73"/>
        <v>0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  <c r="AA248" s="9"/>
      <c r="AB248" s="9"/>
    </row>
    <row r="249" ht="15.75" hidden="1" customHeight="1" outlineLevel="1">
      <c r="A249" s="14">
        <v>46238.0</v>
      </c>
      <c r="B249" s="17">
        <v>0.1</v>
      </c>
      <c r="C249" s="18">
        <v>0.1</v>
      </c>
      <c r="D249" s="19">
        <v>0.05</v>
      </c>
      <c r="E249" s="20">
        <v>3.0</v>
      </c>
      <c r="F249" s="21">
        <v>1000.0</v>
      </c>
      <c r="G249" s="22">
        <f t="shared" si="70"/>
        <v>0</v>
      </c>
      <c r="H249" s="23">
        <f t="shared" si="71"/>
        <v>0</v>
      </c>
      <c r="I249" s="24">
        <f t="shared" si="72"/>
        <v>0</v>
      </c>
      <c r="J249" s="25"/>
      <c r="K249" s="26"/>
      <c r="L249" s="27">
        <f t="shared" si="73"/>
        <v>0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  <c r="AA249" s="9"/>
      <c r="AB249" s="9"/>
    </row>
    <row r="250" ht="15.75" hidden="1" customHeight="1" outlineLevel="1">
      <c r="A250" s="14">
        <v>46239.0</v>
      </c>
      <c r="B250" s="17">
        <v>0.1</v>
      </c>
      <c r="C250" s="18">
        <v>0.1</v>
      </c>
      <c r="D250" s="19">
        <v>0.05</v>
      </c>
      <c r="E250" s="20">
        <v>3.0</v>
      </c>
      <c r="F250" s="21">
        <v>1000.0</v>
      </c>
      <c r="G250" s="22">
        <f t="shared" si="70"/>
        <v>0</v>
      </c>
      <c r="H250" s="23">
        <f t="shared" si="71"/>
        <v>0</v>
      </c>
      <c r="I250" s="24">
        <f t="shared" si="72"/>
        <v>0</v>
      </c>
      <c r="J250" s="25"/>
      <c r="K250" s="26"/>
      <c r="L250" s="27">
        <f t="shared" si="73"/>
        <v>0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  <c r="AA250" s="9"/>
      <c r="AB250" s="9"/>
    </row>
    <row r="251" ht="15.75" hidden="1" customHeight="1" outlineLevel="1">
      <c r="A251" s="14">
        <v>46240.0</v>
      </c>
      <c r="B251" s="17">
        <v>0.1</v>
      </c>
      <c r="C251" s="18">
        <v>0.1</v>
      </c>
      <c r="D251" s="19">
        <v>0.05</v>
      </c>
      <c r="E251" s="20">
        <v>3.0</v>
      </c>
      <c r="F251" s="21">
        <v>1000.0</v>
      </c>
      <c r="G251" s="22">
        <f t="shared" si="70"/>
        <v>0</v>
      </c>
      <c r="H251" s="23">
        <f t="shared" si="71"/>
        <v>0</v>
      </c>
      <c r="I251" s="24">
        <f t="shared" si="72"/>
        <v>0</v>
      </c>
      <c r="J251" s="25"/>
      <c r="K251" s="26"/>
      <c r="L251" s="27">
        <f t="shared" si="73"/>
        <v>0</v>
      </c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  <c r="AA251" s="9"/>
      <c r="AB251" s="9"/>
    </row>
    <row r="252" ht="15.75" hidden="1" customHeight="1" outlineLevel="1">
      <c r="A252" s="14">
        <v>46241.0</v>
      </c>
      <c r="B252" s="17">
        <v>0.1</v>
      </c>
      <c r="C252" s="18">
        <v>0.1</v>
      </c>
      <c r="D252" s="19">
        <v>0.05</v>
      </c>
      <c r="E252" s="20">
        <v>3.0</v>
      </c>
      <c r="F252" s="21">
        <v>1000.0</v>
      </c>
      <c r="G252" s="22">
        <f t="shared" si="70"/>
        <v>0</v>
      </c>
      <c r="H252" s="23">
        <f t="shared" si="71"/>
        <v>0</v>
      </c>
      <c r="I252" s="24">
        <f t="shared" si="72"/>
        <v>0</v>
      </c>
      <c r="J252" s="25"/>
      <c r="K252" s="26"/>
      <c r="L252" s="27">
        <f t="shared" si="73"/>
        <v>0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  <c r="AA252" s="9"/>
      <c r="AB252" s="9"/>
    </row>
    <row r="253" ht="15.75" hidden="1" customHeight="1" outlineLevel="1">
      <c r="A253" s="14">
        <v>46242.0</v>
      </c>
      <c r="B253" s="17">
        <v>0.1</v>
      </c>
      <c r="C253" s="18">
        <v>0.1</v>
      </c>
      <c r="D253" s="19">
        <v>0.05</v>
      </c>
      <c r="E253" s="20">
        <v>3.0</v>
      </c>
      <c r="F253" s="21">
        <v>1000.0</v>
      </c>
      <c r="G253" s="22">
        <f t="shared" si="70"/>
        <v>0</v>
      </c>
      <c r="H253" s="23">
        <f t="shared" si="71"/>
        <v>0</v>
      </c>
      <c r="I253" s="24">
        <f t="shared" si="72"/>
        <v>0</v>
      </c>
      <c r="J253" s="25"/>
      <c r="K253" s="26"/>
      <c r="L253" s="27">
        <f t="shared" si="73"/>
        <v>0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  <c r="AA253" s="9"/>
      <c r="AB253" s="9"/>
    </row>
    <row r="254" ht="15.75" hidden="1" customHeight="1" outlineLevel="1">
      <c r="A254" s="14">
        <v>46243.0</v>
      </c>
      <c r="B254" s="17">
        <v>0.1</v>
      </c>
      <c r="C254" s="18">
        <v>0.1</v>
      </c>
      <c r="D254" s="19">
        <v>0.05</v>
      </c>
      <c r="E254" s="20">
        <v>3.0</v>
      </c>
      <c r="F254" s="21">
        <v>1000.0</v>
      </c>
      <c r="G254" s="22">
        <f t="shared" si="70"/>
        <v>0</v>
      </c>
      <c r="H254" s="23">
        <f t="shared" si="71"/>
        <v>0</v>
      </c>
      <c r="I254" s="24">
        <f t="shared" si="72"/>
        <v>0</v>
      </c>
      <c r="J254" s="25"/>
      <c r="K254" s="26"/>
      <c r="L254" s="27">
        <f t="shared" si="73"/>
        <v>0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  <c r="AA254" s="9"/>
      <c r="AB254" s="9"/>
    </row>
    <row r="255" ht="15.75" hidden="1" customHeight="1" outlineLevel="1">
      <c r="A255" s="14">
        <v>46244.0</v>
      </c>
      <c r="B255" s="17">
        <v>0.1</v>
      </c>
      <c r="C255" s="18">
        <v>0.1</v>
      </c>
      <c r="D255" s="19">
        <v>0.05</v>
      </c>
      <c r="E255" s="20">
        <v>3.0</v>
      </c>
      <c r="F255" s="21">
        <v>1000.0</v>
      </c>
      <c r="G255" s="22">
        <f t="shared" si="70"/>
        <v>0</v>
      </c>
      <c r="H255" s="23">
        <f t="shared" si="71"/>
        <v>0</v>
      </c>
      <c r="I255" s="24">
        <f t="shared" si="72"/>
        <v>0</v>
      </c>
      <c r="J255" s="25"/>
      <c r="K255" s="26"/>
      <c r="L255" s="27">
        <f t="shared" si="73"/>
        <v>0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  <c r="AA255" s="9"/>
      <c r="AB255" s="9"/>
    </row>
    <row r="256" ht="15.75" hidden="1" customHeight="1" outlineLevel="1">
      <c r="A256" s="14">
        <v>46245.0</v>
      </c>
      <c r="B256" s="17">
        <v>0.1</v>
      </c>
      <c r="C256" s="18">
        <v>0.1</v>
      </c>
      <c r="D256" s="19">
        <v>0.05</v>
      </c>
      <c r="E256" s="20">
        <v>3.0</v>
      </c>
      <c r="F256" s="21">
        <v>1000.0</v>
      </c>
      <c r="G256" s="22">
        <f t="shared" si="70"/>
        <v>0</v>
      </c>
      <c r="H256" s="23">
        <f t="shared" si="71"/>
        <v>0</v>
      </c>
      <c r="I256" s="24">
        <f t="shared" si="72"/>
        <v>0</v>
      </c>
      <c r="J256" s="25"/>
      <c r="K256" s="26"/>
      <c r="L256" s="27">
        <f t="shared" si="73"/>
        <v>0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  <c r="AA256" s="9"/>
      <c r="AB256" s="9"/>
    </row>
    <row r="257" ht="15.75" hidden="1" customHeight="1" outlineLevel="1">
      <c r="A257" s="14">
        <v>46246.0</v>
      </c>
      <c r="B257" s="17">
        <v>0.1</v>
      </c>
      <c r="C257" s="18">
        <v>0.1</v>
      </c>
      <c r="D257" s="19">
        <v>0.05</v>
      </c>
      <c r="E257" s="20">
        <v>3.0</v>
      </c>
      <c r="F257" s="21">
        <v>1000.0</v>
      </c>
      <c r="G257" s="22">
        <f t="shared" si="70"/>
        <v>0</v>
      </c>
      <c r="H257" s="23">
        <f t="shared" si="71"/>
        <v>0</v>
      </c>
      <c r="I257" s="24">
        <f t="shared" si="72"/>
        <v>0</v>
      </c>
      <c r="J257" s="25"/>
      <c r="K257" s="26"/>
      <c r="L257" s="27">
        <f t="shared" si="73"/>
        <v>0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  <c r="AA257" s="9"/>
      <c r="AB257" s="9"/>
    </row>
    <row r="258" ht="15.75" hidden="1" customHeight="1" outlineLevel="1">
      <c r="A258" s="14">
        <v>46247.0</v>
      </c>
      <c r="B258" s="17">
        <v>0.1</v>
      </c>
      <c r="C258" s="18">
        <v>0.1</v>
      </c>
      <c r="D258" s="19">
        <v>0.05</v>
      </c>
      <c r="E258" s="20">
        <v>3.0</v>
      </c>
      <c r="F258" s="21">
        <v>1000.0</v>
      </c>
      <c r="G258" s="22">
        <f t="shared" si="70"/>
        <v>0</v>
      </c>
      <c r="H258" s="23">
        <f t="shared" si="71"/>
        <v>0</v>
      </c>
      <c r="I258" s="24">
        <f t="shared" si="72"/>
        <v>0</v>
      </c>
      <c r="J258" s="25"/>
      <c r="K258" s="26"/>
      <c r="L258" s="27">
        <f t="shared" si="73"/>
        <v>0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  <c r="AA258" s="9"/>
      <c r="AB258" s="9"/>
    </row>
    <row r="259" ht="15.75" hidden="1" customHeight="1" outlineLevel="1">
      <c r="A259" s="14">
        <v>46248.0</v>
      </c>
      <c r="B259" s="17">
        <v>0.1</v>
      </c>
      <c r="C259" s="18">
        <v>0.1</v>
      </c>
      <c r="D259" s="19">
        <v>0.05</v>
      </c>
      <c r="E259" s="20">
        <v>3.0</v>
      </c>
      <c r="F259" s="21">
        <v>1000.0</v>
      </c>
      <c r="G259" s="22">
        <f t="shared" si="70"/>
        <v>0</v>
      </c>
      <c r="H259" s="23">
        <f t="shared" si="71"/>
        <v>0</v>
      </c>
      <c r="I259" s="24">
        <f t="shared" si="72"/>
        <v>0</v>
      </c>
      <c r="J259" s="25"/>
      <c r="K259" s="26"/>
      <c r="L259" s="27">
        <f t="shared" si="73"/>
        <v>0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  <c r="AA259" s="9"/>
      <c r="AB259" s="9"/>
    </row>
    <row r="260" ht="15.75" hidden="1" customHeight="1" outlineLevel="1">
      <c r="A260" s="14">
        <v>46249.0</v>
      </c>
      <c r="B260" s="17">
        <v>0.1</v>
      </c>
      <c r="C260" s="18">
        <v>0.1</v>
      </c>
      <c r="D260" s="19">
        <v>0.05</v>
      </c>
      <c r="E260" s="20">
        <v>3.0</v>
      </c>
      <c r="F260" s="21">
        <v>1000.0</v>
      </c>
      <c r="G260" s="22">
        <f t="shared" si="70"/>
        <v>0</v>
      </c>
      <c r="H260" s="23">
        <f t="shared" si="71"/>
        <v>0</v>
      </c>
      <c r="I260" s="24">
        <f t="shared" si="72"/>
        <v>0</v>
      </c>
      <c r="J260" s="25"/>
      <c r="K260" s="26"/>
      <c r="L260" s="27">
        <f t="shared" si="73"/>
        <v>0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  <c r="AA260" s="9"/>
      <c r="AB260" s="9"/>
    </row>
    <row r="261" ht="15.75" hidden="1" customHeight="1" outlineLevel="1">
      <c r="A261" s="14">
        <v>46250.0</v>
      </c>
      <c r="B261" s="17">
        <v>0.1</v>
      </c>
      <c r="C261" s="18">
        <v>0.1</v>
      </c>
      <c r="D261" s="19">
        <v>0.05</v>
      </c>
      <c r="E261" s="20">
        <v>3.0</v>
      </c>
      <c r="F261" s="21">
        <v>1000.0</v>
      </c>
      <c r="G261" s="22">
        <f t="shared" si="70"/>
        <v>0</v>
      </c>
      <c r="H261" s="23">
        <f t="shared" si="71"/>
        <v>0</v>
      </c>
      <c r="I261" s="24">
        <f t="shared" si="72"/>
        <v>0</v>
      </c>
      <c r="J261" s="25"/>
      <c r="K261" s="26"/>
      <c r="L261" s="27">
        <f t="shared" si="73"/>
        <v>0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  <c r="AA261" s="9"/>
      <c r="AB261" s="9"/>
    </row>
    <row r="262" ht="15.75" hidden="1" customHeight="1" outlineLevel="1">
      <c r="A262" s="14">
        <v>46251.0</v>
      </c>
      <c r="B262" s="17">
        <v>0.1</v>
      </c>
      <c r="C262" s="18">
        <v>0.1</v>
      </c>
      <c r="D262" s="19">
        <v>0.05</v>
      </c>
      <c r="E262" s="20">
        <v>3.0</v>
      </c>
      <c r="F262" s="21">
        <v>1000.0</v>
      </c>
      <c r="G262" s="22">
        <f t="shared" si="70"/>
        <v>0</v>
      </c>
      <c r="H262" s="23">
        <f t="shared" si="71"/>
        <v>0</v>
      </c>
      <c r="I262" s="24">
        <f t="shared" si="72"/>
        <v>0</v>
      </c>
      <c r="J262" s="25"/>
      <c r="K262" s="26"/>
      <c r="L262" s="27">
        <f t="shared" si="73"/>
        <v>0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  <c r="AA262" s="9"/>
      <c r="AB262" s="9"/>
    </row>
    <row r="263" ht="15.75" hidden="1" customHeight="1" outlineLevel="1">
      <c r="A263" s="14">
        <v>46252.0</v>
      </c>
      <c r="B263" s="17">
        <v>0.1</v>
      </c>
      <c r="C263" s="18">
        <v>0.1</v>
      </c>
      <c r="D263" s="19">
        <v>0.05</v>
      </c>
      <c r="E263" s="20">
        <v>3.0</v>
      </c>
      <c r="F263" s="21">
        <v>1000.0</v>
      </c>
      <c r="G263" s="22">
        <f t="shared" si="70"/>
        <v>0</v>
      </c>
      <c r="H263" s="23">
        <f t="shared" si="71"/>
        <v>0</v>
      </c>
      <c r="I263" s="24">
        <f t="shared" si="72"/>
        <v>0</v>
      </c>
      <c r="J263" s="25"/>
      <c r="K263" s="26"/>
      <c r="L263" s="27">
        <f t="shared" si="73"/>
        <v>0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  <c r="AA263" s="9"/>
      <c r="AB263" s="9"/>
    </row>
    <row r="264" ht="15.75" hidden="1" customHeight="1" outlineLevel="1">
      <c r="A264" s="14">
        <v>46253.0</v>
      </c>
      <c r="B264" s="17">
        <v>0.1</v>
      </c>
      <c r="C264" s="18">
        <v>0.1</v>
      </c>
      <c r="D264" s="19">
        <v>0.05</v>
      </c>
      <c r="E264" s="20">
        <v>3.0</v>
      </c>
      <c r="F264" s="21">
        <v>1000.0</v>
      </c>
      <c r="G264" s="22">
        <f t="shared" si="70"/>
        <v>0</v>
      </c>
      <c r="H264" s="23">
        <f t="shared" si="71"/>
        <v>0</v>
      </c>
      <c r="I264" s="24">
        <f t="shared" si="72"/>
        <v>0</v>
      </c>
      <c r="J264" s="25"/>
      <c r="K264" s="26"/>
      <c r="L264" s="27">
        <f t="shared" si="73"/>
        <v>0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  <c r="AA264" s="9"/>
      <c r="AB264" s="9"/>
    </row>
    <row r="265" ht="15.75" hidden="1" customHeight="1" outlineLevel="1">
      <c r="A265" s="14">
        <v>46254.0</v>
      </c>
      <c r="B265" s="17">
        <v>0.1</v>
      </c>
      <c r="C265" s="18">
        <v>0.1</v>
      </c>
      <c r="D265" s="19">
        <v>0.05</v>
      </c>
      <c r="E265" s="20">
        <v>3.0</v>
      </c>
      <c r="F265" s="21">
        <v>1000.0</v>
      </c>
      <c r="G265" s="22">
        <f t="shared" si="70"/>
        <v>0</v>
      </c>
      <c r="H265" s="23">
        <f t="shared" si="71"/>
        <v>0</v>
      </c>
      <c r="I265" s="24">
        <f t="shared" si="72"/>
        <v>0</v>
      </c>
      <c r="J265" s="25"/>
      <c r="K265" s="26"/>
      <c r="L265" s="27">
        <f t="shared" si="73"/>
        <v>0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  <c r="AA265" s="9"/>
      <c r="AB265" s="9"/>
    </row>
    <row r="266" ht="15.75" hidden="1" customHeight="1" outlineLevel="1">
      <c r="A266" s="14">
        <v>46255.0</v>
      </c>
      <c r="B266" s="17">
        <v>0.1</v>
      </c>
      <c r="C266" s="18">
        <v>0.1</v>
      </c>
      <c r="D266" s="19">
        <v>0.05</v>
      </c>
      <c r="E266" s="20">
        <v>3.0</v>
      </c>
      <c r="F266" s="21">
        <v>1000.0</v>
      </c>
      <c r="G266" s="22">
        <f t="shared" si="70"/>
        <v>0</v>
      </c>
      <c r="H266" s="23">
        <f t="shared" si="71"/>
        <v>0</v>
      </c>
      <c r="I266" s="24">
        <f t="shared" si="72"/>
        <v>0</v>
      </c>
      <c r="J266" s="25"/>
      <c r="K266" s="26"/>
      <c r="L266" s="27">
        <f t="shared" si="73"/>
        <v>0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  <c r="AA266" s="9"/>
      <c r="AB266" s="9"/>
    </row>
    <row r="267" ht="15.75" hidden="1" customHeight="1" outlineLevel="1">
      <c r="A267" s="14">
        <v>46256.0</v>
      </c>
      <c r="B267" s="17">
        <v>0.1</v>
      </c>
      <c r="C267" s="18">
        <v>0.1</v>
      </c>
      <c r="D267" s="19">
        <v>0.05</v>
      </c>
      <c r="E267" s="20">
        <v>3.0</v>
      </c>
      <c r="F267" s="21">
        <v>1000.0</v>
      </c>
      <c r="G267" s="22">
        <f t="shared" si="70"/>
        <v>0</v>
      </c>
      <c r="H267" s="23">
        <f t="shared" si="71"/>
        <v>0</v>
      </c>
      <c r="I267" s="24">
        <f t="shared" si="72"/>
        <v>0</v>
      </c>
      <c r="J267" s="25"/>
      <c r="K267" s="26"/>
      <c r="L267" s="27">
        <f t="shared" si="73"/>
        <v>0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  <c r="AA267" s="9"/>
      <c r="AB267" s="9"/>
    </row>
    <row r="268" ht="15.75" hidden="1" customHeight="1" outlineLevel="1">
      <c r="A268" s="14">
        <v>46257.0</v>
      </c>
      <c r="B268" s="17">
        <v>0.1</v>
      </c>
      <c r="C268" s="18">
        <v>0.1</v>
      </c>
      <c r="D268" s="19">
        <v>0.05</v>
      </c>
      <c r="E268" s="20">
        <v>3.0</v>
      </c>
      <c r="F268" s="21">
        <v>1000.0</v>
      </c>
      <c r="G268" s="22">
        <f t="shared" si="70"/>
        <v>0</v>
      </c>
      <c r="H268" s="23">
        <f t="shared" si="71"/>
        <v>0</v>
      </c>
      <c r="I268" s="24">
        <f t="shared" si="72"/>
        <v>0</v>
      </c>
      <c r="J268" s="25"/>
      <c r="K268" s="26"/>
      <c r="L268" s="27">
        <f t="shared" si="73"/>
        <v>0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  <c r="AA268" s="9"/>
      <c r="AB268" s="9"/>
    </row>
    <row r="269" ht="15.75" hidden="1" customHeight="1" outlineLevel="1">
      <c r="A269" s="14">
        <v>46258.0</v>
      </c>
      <c r="B269" s="17">
        <v>0.1</v>
      </c>
      <c r="C269" s="18">
        <v>0.1</v>
      </c>
      <c r="D269" s="19">
        <v>0.05</v>
      </c>
      <c r="E269" s="20">
        <v>3.0</v>
      </c>
      <c r="F269" s="21">
        <v>1000.0</v>
      </c>
      <c r="G269" s="22">
        <f t="shared" si="70"/>
        <v>0</v>
      </c>
      <c r="H269" s="23">
        <f t="shared" si="71"/>
        <v>0</v>
      </c>
      <c r="I269" s="24">
        <f t="shared" si="72"/>
        <v>0</v>
      </c>
      <c r="J269" s="25"/>
      <c r="K269" s="26"/>
      <c r="L269" s="27">
        <f t="shared" si="73"/>
        <v>0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  <c r="AA269" s="9"/>
      <c r="AB269" s="9"/>
    </row>
    <row r="270" ht="15.75" hidden="1" customHeight="1" outlineLevel="1">
      <c r="A270" s="14">
        <v>46259.0</v>
      </c>
      <c r="B270" s="17">
        <v>0.1</v>
      </c>
      <c r="C270" s="18">
        <v>0.1</v>
      </c>
      <c r="D270" s="19">
        <v>0.05</v>
      </c>
      <c r="E270" s="20">
        <v>3.0</v>
      </c>
      <c r="F270" s="21">
        <v>1000.0</v>
      </c>
      <c r="G270" s="22">
        <f t="shared" si="70"/>
        <v>0</v>
      </c>
      <c r="H270" s="23">
        <f t="shared" si="71"/>
        <v>0</v>
      </c>
      <c r="I270" s="24">
        <f t="shared" si="72"/>
        <v>0</v>
      </c>
      <c r="J270" s="25"/>
      <c r="K270" s="26"/>
      <c r="L270" s="27">
        <f t="shared" si="73"/>
        <v>0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  <c r="AA270" s="9"/>
      <c r="AB270" s="9"/>
    </row>
    <row r="271" ht="15.75" hidden="1" customHeight="1" outlineLevel="1">
      <c r="A271" s="14">
        <v>46260.0</v>
      </c>
      <c r="B271" s="17">
        <v>0.1</v>
      </c>
      <c r="C271" s="18">
        <v>0.1</v>
      </c>
      <c r="D271" s="19">
        <v>0.05</v>
      </c>
      <c r="E271" s="20">
        <v>3.0</v>
      </c>
      <c r="F271" s="21">
        <v>1000.0</v>
      </c>
      <c r="G271" s="22">
        <f t="shared" si="70"/>
        <v>0</v>
      </c>
      <c r="H271" s="23">
        <f t="shared" si="71"/>
        <v>0</v>
      </c>
      <c r="I271" s="24">
        <f t="shared" si="72"/>
        <v>0</v>
      </c>
      <c r="J271" s="25"/>
      <c r="K271" s="26"/>
      <c r="L271" s="27">
        <f t="shared" si="73"/>
        <v>0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  <c r="AA271" s="9"/>
      <c r="AB271" s="9"/>
    </row>
    <row r="272" ht="15.75" hidden="1" customHeight="1" outlineLevel="1">
      <c r="A272" s="14">
        <v>46261.0</v>
      </c>
      <c r="B272" s="17">
        <v>0.1</v>
      </c>
      <c r="C272" s="18">
        <v>0.1</v>
      </c>
      <c r="D272" s="19">
        <v>0.05</v>
      </c>
      <c r="E272" s="20">
        <v>3.0</v>
      </c>
      <c r="F272" s="21">
        <v>1000.0</v>
      </c>
      <c r="G272" s="22">
        <f t="shared" si="70"/>
        <v>0</v>
      </c>
      <c r="H272" s="23">
        <f t="shared" si="71"/>
        <v>0</v>
      </c>
      <c r="I272" s="24">
        <f t="shared" si="72"/>
        <v>0</v>
      </c>
      <c r="J272" s="25"/>
      <c r="K272" s="26"/>
      <c r="L272" s="27">
        <f t="shared" si="73"/>
        <v>0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  <c r="AA272" s="9"/>
      <c r="AB272" s="9"/>
    </row>
    <row r="273" ht="15.75" hidden="1" customHeight="1" outlineLevel="1">
      <c r="A273" s="14">
        <v>46262.0</v>
      </c>
      <c r="B273" s="17">
        <v>0.1</v>
      </c>
      <c r="C273" s="18">
        <v>0.1</v>
      </c>
      <c r="D273" s="19">
        <v>0.05</v>
      </c>
      <c r="E273" s="20">
        <v>3.0</v>
      </c>
      <c r="F273" s="21">
        <v>1000.0</v>
      </c>
      <c r="G273" s="22">
        <f t="shared" si="70"/>
        <v>0</v>
      </c>
      <c r="H273" s="23">
        <f t="shared" si="71"/>
        <v>0</v>
      </c>
      <c r="I273" s="24">
        <f t="shared" si="72"/>
        <v>0</v>
      </c>
      <c r="J273" s="25"/>
      <c r="K273" s="26"/>
      <c r="L273" s="27">
        <f t="shared" si="73"/>
        <v>0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  <c r="AA273" s="9"/>
      <c r="AB273" s="9"/>
    </row>
    <row r="274" ht="15.75" hidden="1" customHeight="1" outlineLevel="1">
      <c r="A274" s="14">
        <v>46263.0</v>
      </c>
      <c r="B274" s="17">
        <v>0.1</v>
      </c>
      <c r="C274" s="18">
        <v>0.1</v>
      </c>
      <c r="D274" s="19">
        <v>0.05</v>
      </c>
      <c r="E274" s="20">
        <v>3.0</v>
      </c>
      <c r="F274" s="21">
        <v>1000.0</v>
      </c>
      <c r="G274" s="22">
        <f t="shared" si="70"/>
        <v>0</v>
      </c>
      <c r="H274" s="23">
        <f t="shared" si="71"/>
        <v>0</v>
      </c>
      <c r="I274" s="24">
        <f t="shared" si="72"/>
        <v>0</v>
      </c>
      <c r="J274" s="25"/>
      <c r="K274" s="26"/>
      <c r="L274" s="27">
        <f t="shared" si="73"/>
        <v>0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  <c r="AA274" s="9"/>
      <c r="AB274" s="9"/>
    </row>
    <row r="275" ht="15.75" hidden="1" customHeight="1" outlineLevel="1">
      <c r="A275" s="14">
        <v>46264.0</v>
      </c>
      <c r="B275" s="17">
        <v>0.1</v>
      </c>
      <c r="C275" s="18">
        <v>0.1</v>
      </c>
      <c r="D275" s="19">
        <v>0.05</v>
      </c>
      <c r="E275" s="20">
        <v>3.0</v>
      </c>
      <c r="F275" s="21">
        <v>1000.0</v>
      </c>
      <c r="G275" s="22">
        <f t="shared" si="70"/>
        <v>0</v>
      </c>
      <c r="H275" s="23">
        <f t="shared" si="71"/>
        <v>0</v>
      </c>
      <c r="I275" s="24">
        <f t="shared" si="72"/>
        <v>0</v>
      </c>
      <c r="J275" s="25"/>
      <c r="K275" s="26"/>
      <c r="L275" s="27">
        <f t="shared" si="73"/>
        <v>0</v>
      </c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  <c r="AA275" s="9"/>
      <c r="AB275" s="9"/>
    </row>
    <row r="276" ht="15.75" hidden="1" customHeight="1" outlineLevel="1">
      <c r="A276" s="14">
        <v>46265.0</v>
      </c>
      <c r="B276" s="17">
        <v>0.1</v>
      </c>
      <c r="C276" s="18">
        <v>0.1</v>
      </c>
      <c r="D276" s="19">
        <v>0.05</v>
      </c>
      <c r="E276" s="20">
        <v>3.0</v>
      </c>
      <c r="F276" s="21">
        <v>1000.0</v>
      </c>
      <c r="G276" s="22">
        <f t="shared" si="70"/>
        <v>0</v>
      </c>
      <c r="H276" s="23">
        <f t="shared" si="71"/>
        <v>0</v>
      </c>
      <c r="I276" s="24">
        <f t="shared" si="72"/>
        <v>0</v>
      </c>
      <c r="J276" s="25"/>
      <c r="K276" s="26"/>
      <c r="L276" s="27">
        <f t="shared" si="73"/>
        <v>0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  <c r="AA276" s="9"/>
      <c r="AB276" s="9"/>
    </row>
    <row r="277" ht="15.75" hidden="1" customHeight="1" outlineLevel="1">
      <c r="A277" s="28" t="s">
        <v>18</v>
      </c>
      <c r="C277" s="29">
        <f>SUM(C246:C276)</f>
        <v>3.1</v>
      </c>
      <c r="D277" s="30"/>
      <c r="E277" s="30"/>
      <c r="F277" s="30"/>
      <c r="G277" s="30"/>
      <c r="H277" s="30"/>
      <c r="I277" s="31">
        <f t="shared" ref="I277:K277" si="74">SUM(I246:I276)</f>
        <v>0</v>
      </c>
      <c r="J277" s="32">
        <f t="shared" si="74"/>
        <v>0</v>
      </c>
      <c r="K277" s="30">
        <f t="shared" si="74"/>
        <v>0</v>
      </c>
      <c r="L277" s="32">
        <f>L276</f>
        <v>0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  <c r="AA277" s="9"/>
      <c r="AB277" s="9"/>
    </row>
    <row r="278" ht="15.75" customHeight="1">
      <c r="A278" s="38"/>
      <c r="B278" s="35"/>
      <c r="C278" s="35"/>
      <c r="D278" s="35"/>
      <c r="E278" s="35"/>
      <c r="F278" s="35"/>
      <c r="G278" s="35"/>
      <c r="H278" s="35"/>
      <c r="I278" s="35"/>
      <c r="J278" s="35"/>
      <c r="K278" s="37">
        <f>SUM(K246:K276)</f>
        <v>0</v>
      </c>
      <c r="L278" s="35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  <c r="AA278" s="9"/>
      <c r="AB278" s="9"/>
    </row>
    <row r="279" ht="15.75" customHeight="1" collapsed="1">
      <c r="A279" s="1" t="s">
        <v>27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  <c r="AA279" s="9"/>
      <c r="AB279" s="9"/>
    </row>
    <row r="280" ht="15.75" hidden="1" customHeight="1" outlineLevel="1">
      <c r="A280" s="14" t="s">
        <v>6</v>
      </c>
      <c r="B280" s="1" t="s">
        <v>7</v>
      </c>
      <c r="C280" s="1" t="s">
        <v>8</v>
      </c>
      <c r="D280" s="15" t="s">
        <v>9</v>
      </c>
      <c r="E280" s="15" t="s">
        <v>10</v>
      </c>
      <c r="F280" s="15" t="s">
        <v>11</v>
      </c>
      <c r="G280" s="16" t="s">
        <v>12</v>
      </c>
      <c r="H280" s="15" t="s">
        <v>13</v>
      </c>
      <c r="I280" s="1" t="s">
        <v>14</v>
      </c>
      <c r="J280" s="17" t="s">
        <v>15</v>
      </c>
      <c r="K280" s="1" t="s">
        <v>16</v>
      </c>
      <c r="L280" s="1" t="s">
        <v>17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  <c r="AA280" s="9"/>
      <c r="AB280" s="9"/>
    </row>
    <row r="281" ht="15.75" hidden="1" customHeight="1" outlineLevel="1">
      <c r="A281" s="14">
        <v>46266.0</v>
      </c>
      <c r="B281" s="17">
        <v>0.1</v>
      </c>
      <c r="C281" s="18">
        <v>0.1</v>
      </c>
      <c r="D281" s="19">
        <v>0.05</v>
      </c>
      <c r="E281" s="20">
        <v>3.0</v>
      </c>
      <c r="F281" s="21">
        <v>1000.0</v>
      </c>
      <c r="G281" s="22">
        <f>L277*C281</f>
        <v>0</v>
      </c>
      <c r="H281" s="23">
        <f>L277*D281</f>
        <v>0</v>
      </c>
      <c r="I281" s="24">
        <f>(J281/L277)*100</f>
        <v>0</v>
      </c>
      <c r="J281" s="25"/>
      <c r="K281" s="26"/>
      <c r="L281" s="27">
        <f>(L277+J281)-K281</f>
        <v>0</v>
      </c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  <c r="AA281" s="9"/>
      <c r="AB281" s="9"/>
    </row>
    <row r="282" ht="15.75" hidden="1" customHeight="1" outlineLevel="1">
      <c r="A282" s="14">
        <v>46267.0</v>
      </c>
      <c r="B282" s="17">
        <v>0.1</v>
      </c>
      <c r="C282" s="18">
        <v>0.1</v>
      </c>
      <c r="D282" s="19">
        <v>0.05</v>
      </c>
      <c r="E282" s="20">
        <v>3.0</v>
      </c>
      <c r="F282" s="21">
        <v>1000.0</v>
      </c>
      <c r="G282" s="22">
        <f t="shared" ref="G282:G310" si="75">L281*C282</f>
        <v>0</v>
      </c>
      <c r="H282" s="23">
        <f t="shared" ref="H282:H310" si="76">L281*D282</f>
        <v>0</v>
      </c>
      <c r="I282" s="24">
        <f t="shared" ref="I282:I310" si="77">(J282/L281)*100</f>
        <v>0</v>
      </c>
      <c r="J282" s="25"/>
      <c r="K282" s="26"/>
      <c r="L282" s="27">
        <f t="shared" ref="L282:L310" si="78">(L281+J282)-K282</f>
        <v>0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  <c r="AA282" s="9"/>
      <c r="AB282" s="9"/>
    </row>
    <row r="283" ht="15.75" hidden="1" customHeight="1" outlineLevel="1">
      <c r="A283" s="14">
        <v>46268.0</v>
      </c>
      <c r="B283" s="17">
        <v>0.1</v>
      </c>
      <c r="C283" s="18">
        <v>0.1</v>
      </c>
      <c r="D283" s="19">
        <v>0.05</v>
      </c>
      <c r="E283" s="20">
        <v>3.0</v>
      </c>
      <c r="F283" s="21">
        <v>1000.0</v>
      </c>
      <c r="G283" s="22">
        <f t="shared" si="75"/>
        <v>0</v>
      </c>
      <c r="H283" s="23">
        <f t="shared" si="76"/>
        <v>0</v>
      </c>
      <c r="I283" s="24">
        <f t="shared" si="77"/>
        <v>0</v>
      </c>
      <c r="J283" s="25"/>
      <c r="K283" s="26"/>
      <c r="L283" s="27">
        <f t="shared" si="78"/>
        <v>0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  <c r="AA283" s="9"/>
      <c r="AB283" s="9"/>
    </row>
    <row r="284" ht="15.75" hidden="1" customHeight="1" outlineLevel="1">
      <c r="A284" s="14">
        <v>46269.0</v>
      </c>
      <c r="B284" s="17">
        <v>0.1</v>
      </c>
      <c r="C284" s="18">
        <v>0.1</v>
      </c>
      <c r="D284" s="19">
        <v>0.05</v>
      </c>
      <c r="E284" s="20">
        <v>3.0</v>
      </c>
      <c r="F284" s="21">
        <v>1000.0</v>
      </c>
      <c r="G284" s="22">
        <f t="shared" si="75"/>
        <v>0</v>
      </c>
      <c r="H284" s="23">
        <f t="shared" si="76"/>
        <v>0</v>
      </c>
      <c r="I284" s="24">
        <f t="shared" si="77"/>
        <v>0</v>
      </c>
      <c r="J284" s="25"/>
      <c r="K284" s="26"/>
      <c r="L284" s="27">
        <f t="shared" si="78"/>
        <v>0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  <c r="AA284" s="9"/>
      <c r="AB284" s="9"/>
    </row>
    <row r="285" ht="15.75" hidden="1" customHeight="1" outlineLevel="1">
      <c r="A285" s="14">
        <v>46270.0</v>
      </c>
      <c r="B285" s="17">
        <v>0.1</v>
      </c>
      <c r="C285" s="18">
        <v>0.1</v>
      </c>
      <c r="D285" s="19">
        <v>0.05</v>
      </c>
      <c r="E285" s="20">
        <v>3.0</v>
      </c>
      <c r="F285" s="21">
        <v>1000.0</v>
      </c>
      <c r="G285" s="22">
        <f t="shared" si="75"/>
        <v>0</v>
      </c>
      <c r="H285" s="23">
        <f t="shared" si="76"/>
        <v>0</v>
      </c>
      <c r="I285" s="24">
        <f t="shared" si="77"/>
        <v>0</v>
      </c>
      <c r="J285" s="25"/>
      <c r="K285" s="26"/>
      <c r="L285" s="27">
        <f t="shared" si="78"/>
        <v>0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  <c r="AA285" s="9"/>
      <c r="AB285" s="9"/>
    </row>
    <row r="286" ht="15.75" hidden="1" customHeight="1" outlineLevel="1">
      <c r="A286" s="14">
        <v>46271.0</v>
      </c>
      <c r="B286" s="17">
        <v>0.1</v>
      </c>
      <c r="C286" s="18">
        <v>0.1</v>
      </c>
      <c r="D286" s="19">
        <v>0.05</v>
      </c>
      <c r="E286" s="20">
        <v>3.0</v>
      </c>
      <c r="F286" s="21">
        <v>1000.0</v>
      </c>
      <c r="G286" s="22">
        <f t="shared" si="75"/>
        <v>0</v>
      </c>
      <c r="H286" s="23">
        <f t="shared" si="76"/>
        <v>0</v>
      </c>
      <c r="I286" s="24">
        <f t="shared" si="77"/>
        <v>0</v>
      </c>
      <c r="J286" s="25"/>
      <c r="K286" s="26"/>
      <c r="L286" s="27">
        <f t="shared" si="78"/>
        <v>0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  <c r="AA286" s="9"/>
      <c r="AB286" s="9"/>
    </row>
    <row r="287" ht="15.75" hidden="1" customHeight="1" outlineLevel="1">
      <c r="A287" s="14">
        <v>46272.0</v>
      </c>
      <c r="B287" s="17">
        <v>0.1</v>
      </c>
      <c r="C287" s="18">
        <v>0.1</v>
      </c>
      <c r="D287" s="19">
        <v>0.05</v>
      </c>
      <c r="E287" s="20">
        <v>3.0</v>
      </c>
      <c r="F287" s="21">
        <v>1000.0</v>
      </c>
      <c r="G287" s="22">
        <f t="shared" si="75"/>
        <v>0</v>
      </c>
      <c r="H287" s="23">
        <f t="shared" si="76"/>
        <v>0</v>
      </c>
      <c r="I287" s="24">
        <f t="shared" si="77"/>
        <v>0</v>
      </c>
      <c r="J287" s="25"/>
      <c r="K287" s="26"/>
      <c r="L287" s="27">
        <f t="shared" si="78"/>
        <v>0</v>
      </c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  <c r="AA287" s="9"/>
      <c r="AB287" s="9"/>
    </row>
    <row r="288" ht="15.75" hidden="1" customHeight="1" outlineLevel="1">
      <c r="A288" s="14">
        <v>46273.0</v>
      </c>
      <c r="B288" s="17">
        <v>0.1</v>
      </c>
      <c r="C288" s="18">
        <v>0.1</v>
      </c>
      <c r="D288" s="19">
        <v>0.05</v>
      </c>
      <c r="E288" s="20">
        <v>3.0</v>
      </c>
      <c r="F288" s="21">
        <v>1000.0</v>
      </c>
      <c r="G288" s="22">
        <f t="shared" si="75"/>
        <v>0</v>
      </c>
      <c r="H288" s="23">
        <f t="shared" si="76"/>
        <v>0</v>
      </c>
      <c r="I288" s="24">
        <f t="shared" si="77"/>
        <v>0</v>
      </c>
      <c r="J288" s="25"/>
      <c r="K288" s="26"/>
      <c r="L288" s="27">
        <f t="shared" si="78"/>
        <v>0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  <c r="AA288" s="9"/>
      <c r="AB288" s="9"/>
    </row>
    <row r="289" ht="15.75" hidden="1" customHeight="1" outlineLevel="1">
      <c r="A289" s="14">
        <v>46274.0</v>
      </c>
      <c r="B289" s="17">
        <v>0.1</v>
      </c>
      <c r="C289" s="18">
        <v>0.1</v>
      </c>
      <c r="D289" s="19">
        <v>0.05</v>
      </c>
      <c r="E289" s="20">
        <v>3.0</v>
      </c>
      <c r="F289" s="21">
        <v>1000.0</v>
      </c>
      <c r="G289" s="22">
        <f t="shared" si="75"/>
        <v>0</v>
      </c>
      <c r="H289" s="23">
        <f t="shared" si="76"/>
        <v>0</v>
      </c>
      <c r="I289" s="24">
        <f t="shared" si="77"/>
        <v>0</v>
      </c>
      <c r="J289" s="25"/>
      <c r="K289" s="26"/>
      <c r="L289" s="27">
        <f t="shared" si="78"/>
        <v>0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  <c r="AA289" s="9"/>
      <c r="AB289" s="9"/>
    </row>
    <row r="290" ht="15.75" hidden="1" customHeight="1" outlineLevel="1">
      <c r="A290" s="14">
        <v>46275.0</v>
      </c>
      <c r="B290" s="17">
        <v>0.1</v>
      </c>
      <c r="C290" s="18">
        <v>0.1</v>
      </c>
      <c r="D290" s="19">
        <v>0.05</v>
      </c>
      <c r="E290" s="20">
        <v>3.0</v>
      </c>
      <c r="F290" s="21">
        <v>1000.0</v>
      </c>
      <c r="G290" s="22">
        <f t="shared" si="75"/>
        <v>0</v>
      </c>
      <c r="H290" s="23">
        <f t="shared" si="76"/>
        <v>0</v>
      </c>
      <c r="I290" s="24">
        <f t="shared" si="77"/>
        <v>0</v>
      </c>
      <c r="J290" s="25"/>
      <c r="K290" s="26"/>
      <c r="L290" s="27">
        <f t="shared" si="78"/>
        <v>0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  <c r="AA290" s="9"/>
      <c r="AB290" s="9"/>
    </row>
    <row r="291" ht="15.75" hidden="1" customHeight="1" outlineLevel="1">
      <c r="A291" s="14">
        <v>46276.0</v>
      </c>
      <c r="B291" s="17">
        <v>0.1</v>
      </c>
      <c r="C291" s="18">
        <v>0.1</v>
      </c>
      <c r="D291" s="19">
        <v>0.05</v>
      </c>
      <c r="E291" s="20">
        <v>3.0</v>
      </c>
      <c r="F291" s="21">
        <v>1000.0</v>
      </c>
      <c r="G291" s="22">
        <f t="shared" si="75"/>
        <v>0</v>
      </c>
      <c r="H291" s="23">
        <f t="shared" si="76"/>
        <v>0</v>
      </c>
      <c r="I291" s="24">
        <f t="shared" si="77"/>
        <v>0</v>
      </c>
      <c r="J291" s="25"/>
      <c r="K291" s="26"/>
      <c r="L291" s="27">
        <f t="shared" si="78"/>
        <v>0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  <c r="AA291" s="9"/>
      <c r="AB291" s="9"/>
    </row>
    <row r="292" ht="15.75" hidden="1" customHeight="1" outlineLevel="1">
      <c r="A292" s="14">
        <v>46277.0</v>
      </c>
      <c r="B292" s="17">
        <v>0.1</v>
      </c>
      <c r="C292" s="18">
        <v>0.1</v>
      </c>
      <c r="D292" s="19">
        <v>0.05</v>
      </c>
      <c r="E292" s="20">
        <v>3.0</v>
      </c>
      <c r="F292" s="21">
        <v>1000.0</v>
      </c>
      <c r="G292" s="22">
        <f t="shared" si="75"/>
        <v>0</v>
      </c>
      <c r="H292" s="23">
        <f t="shared" si="76"/>
        <v>0</v>
      </c>
      <c r="I292" s="24">
        <f t="shared" si="77"/>
        <v>0</v>
      </c>
      <c r="J292" s="25"/>
      <c r="K292" s="26"/>
      <c r="L292" s="27">
        <f t="shared" si="78"/>
        <v>0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  <c r="AA292" s="9"/>
      <c r="AB292" s="9"/>
    </row>
    <row r="293" ht="15.75" hidden="1" customHeight="1" outlineLevel="1">
      <c r="A293" s="14">
        <v>46278.0</v>
      </c>
      <c r="B293" s="17">
        <v>0.1</v>
      </c>
      <c r="C293" s="18">
        <v>0.1</v>
      </c>
      <c r="D293" s="19">
        <v>0.05</v>
      </c>
      <c r="E293" s="20">
        <v>3.0</v>
      </c>
      <c r="F293" s="21">
        <v>1000.0</v>
      </c>
      <c r="G293" s="22">
        <f t="shared" si="75"/>
        <v>0</v>
      </c>
      <c r="H293" s="23">
        <f t="shared" si="76"/>
        <v>0</v>
      </c>
      <c r="I293" s="24">
        <f t="shared" si="77"/>
        <v>0</v>
      </c>
      <c r="J293" s="25"/>
      <c r="K293" s="26"/>
      <c r="L293" s="27">
        <f t="shared" si="78"/>
        <v>0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  <c r="AA293" s="9"/>
      <c r="AB293" s="9"/>
    </row>
    <row r="294" ht="15.75" hidden="1" customHeight="1" outlineLevel="1">
      <c r="A294" s="14">
        <v>46279.0</v>
      </c>
      <c r="B294" s="17">
        <v>0.1</v>
      </c>
      <c r="C294" s="18">
        <v>0.1</v>
      </c>
      <c r="D294" s="19">
        <v>0.05</v>
      </c>
      <c r="E294" s="20">
        <v>3.0</v>
      </c>
      <c r="F294" s="21">
        <v>1000.0</v>
      </c>
      <c r="G294" s="22">
        <f t="shared" si="75"/>
        <v>0</v>
      </c>
      <c r="H294" s="23">
        <f t="shared" si="76"/>
        <v>0</v>
      </c>
      <c r="I294" s="24">
        <f t="shared" si="77"/>
        <v>0</v>
      </c>
      <c r="J294" s="25"/>
      <c r="K294" s="26"/>
      <c r="L294" s="27">
        <f t="shared" si="78"/>
        <v>0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  <c r="AA294" s="9"/>
      <c r="AB294" s="9"/>
    </row>
    <row r="295" ht="15.75" hidden="1" customHeight="1" outlineLevel="1">
      <c r="A295" s="14">
        <v>46280.0</v>
      </c>
      <c r="B295" s="17">
        <v>0.1</v>
      </c>
      <c r="C295" s="18">
        <v>0.1</v>
      </c>
      <c r="D295" s="19">
        <v>0.05</v>
      </c>
      <c r="E295" s="20">
        <v>3.0</v>
      </c>
      <c r="F295" s="21">
        <v>1000.0</v>
      </c>
      <c r="G295" s="22">
        <f t="shared" si="75"/>
        <v>0</v>
      </c>
      <c r="H295" s="23">
        <f t="shared" si="76"/>
        <v>0</v>
      </c>
      <c r="I295" s="24">
        <f t="shared" si="77"/>
        <v>0</v>
      </c>
      <c r="J295" s="25"/>
      <c r="K295" s="26"/>
      <c r="L295" s="27">
        <f t="shared" si="78"/>
        <v>0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  <c r="AA295" s="9"/>
      <c r="AB295" s="9"/>
    </row>
    <row r="296" ht="15.75" hidden="1" customHeight="1" outlineLevel="1">
      <c r="A296" s="14">
        <v>46281.0</v>
      </c>
      <c r="B296" s="17">
        <v>0.1</v>
      </c>
      <c r="C296" s="18">
        <v>0.1</v>
      </c>
      <c r="D296" s="19">
        <v>0.05</v>
      </c>
      <c r="E296" s="20">
        <v>3.0</v>
      </c>
      <c r="F296" s="21">
        <v>1000.0</v>
      </c>
      <c r="G296" s="22">
        <f t="shared" si="75"/>
        <v>0</v>
      </c>
      <c r="H296" s="23">
        <f t="shared" si="76"/>
        <v>0</v>
      </c>
      <c r="I296" s="24">
        <f t="shared" si="77"/>
        <v>0</v>
      </c>
      <c r="J296" s="25"/>
      <c r="K296" s="26"/>
      <c r="L296" s="27">
        <f t="shared" si="78"/>
        <v>0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  <c r="AA296" s="9"/>
      <c r="AB296" s="9"/>
    </row>
    <row r="297" ht="15.75" hidden="1" customHeight="1" outlineLevel="1">
      <c r="A297" s="14">
        <v>46282.0</v>
      </c>
      <c r="B297" s="17">
        <v>0.1</v>
      </c>
      <c r="C297" s="18">
        <v>0.1</v>
      </c>
      <c r="D297" s="19">
        <v>0.05</v>
      </c>
      <c r="E297" s="20">
        <v>3.0</v>
      </c>
      <c r="F297" s="21">
        <v>1000.0</v>
      </c>
      <c r="G297" s="22">
        <f t="shared" si="75"/>
        <v>0</v>
      </c>
      <c r="H297" s="23">
        <f t="shared" si="76"/>
        <v>0</v>
      </c>
      <c r="I297" s="24">
        <f t="shared" si="77"/>
        <v>0</v>
      </c>
      <c r="J297" s="25"/>
      <c r="K297" s="26"/>
      <c r="L297" s="27">
        <f t="shared" si="78"/>
        <v>0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  <c r="AA297" s="9"/>
      <c r="AB297" s="9"/>
    </row>
    <row r="298" ht="15.75" hidden="1" customHeight="1" outlineLevel="1">
      <c r="A298" s="14">
        <v>46283.0</v>
      </c>
      <c r="B298" s="17">
        <v>0.1</v>
      </c>
      <c r="C298" s="18">
        <v>0.1</v>
      </c>
      <c r="D298" s="19">
        <v>0.05</v>
      </c>
      <c r="E298" s="20">
        <v>3.0</v>
      </c>
      <c r="F298" s="21">
        <v>1000.0</v>
      </c>
      <c r="G298" s="22">
        <f t="shared" si="75"/>
        <v>0</v>
      </c>
      <c r="H298" s="23">
        <f t="shared" si="76"/>
        <v>0</v>
      </c>
      <c r="I298" s="24">
        <f t="shared" si="77"/>
        <v>0</v>
      </c>
      <c r="J298" s="25"/>
      <c r="K298" s="26"/>
      <c r="L298" s="27">
        <f t="shared" si="78"/>
        <v>0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  <c r="AA298" s="9"/>
      <c r="AB298" s="9"/>
    </row>
    <row r="299" ht="15.75" hidden="1" customHeight="1" outlineLevel="1">
      <c r="A299" s="14">
        <v>46284.0</v>
      </c>
      <c r="B299" s="17">
        <v>0.1</v>
      </c>
      <c r="C299" s="18">
        <v>0.1</v>
      </c>
      <c r="D299" s="19">
        <v>0.05</v>
      </c>
      <c r="E299" s="20">
        <v>3.0</v>
      </c>
      <c r="F299" s="21">
        <v>1000.0</v>
      </c>
      <c r="G299" s="22">
        <f t="shared" si="75"/>
        <v>0</v>
      </c>
      <c r="H299" s="23">
        <f t="shared" si="76"/>
        <v>0</v>
      </c>
      <c r="I299" s="24">
        <f t="shared" si="77"/>
        <v>0</v>
      </c>
      <c r="J299" s="25"/>
      <c r="K299" s="26"/>
      <c r="L299" s="27">
        <f t="shared" si="78"/>
        <v>0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  <c r="AA299" s="9"/>
      <c r="AB299" s="9"/>
    </row>
    <row r="300" ht="15.75" hidden="1" customHeight="1" outlineLevel="1">
      <c r="A300" s="14">
        <v>46285.0</v>
      </c>
      <c r="B300" s="17">
        <v>0.1</v>
      </c>
      <c r="C300" s="18">
        <v>0.1</v>
      </c>
      <c r="D300" s="19">
        <v>0.05</v>
      </c>
      <c r="E300" s="20">
        <v>3.0</v>
      </c>
      <c r="F300" s="21">
        <v>1000.0</v>
      </c>
      <c r="G300" s="22">
        <f t="shared" si="75"/>
        <v>0</v>
      </c>
      <c r="H300" s="23">
        <f t="shared" si="76"/>
        <v>0</v>
      </c>
      <c r="I300" s="24">
        <f t="shared" si="77"/>
        <v>0</v>
      </c>
      <c r="J300" s="25"/>
      <c r="K300" s="26"/>
      <c r="L300" s="27">
        <f t="shared" si="78"/>
        <v>0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  <c r="AA300" s="9"/>
      <c r="AB300" s="9"/>
    </row>
    <row r="301" ht="15.75" hidden="1" customHeight="1" outlineLevel="1">
      <c r="A301" s="14">
        <v>46286.0</v>
      </c>
      <c r="B301" s="17">
        <v>0.1</v>
      </c>
      <c r="C301" s="18">
        <v>0.1</v>
      </c>
      <c r="D301" s="19">
        <v>0.05</v>
      </c>
      <c r="E301" s="20">
        <v>3.0</v>
      </c>
      <c r="F301" s="21">
        <v>1000.0</v>
      </c>
      <c r="G301" s="22">
        <f t="shared" si="75"/>
        <v>0</v>
      </c>
      <c r="H301" s="23">
        <f t="shared" si="76"/>
        <v>0</v>
      </c>
      <c r="I301" s="24">
        <f t="shared" si="77"/>
        <v>0</v>
      </c>
      <c r="J301" s="25"/>
      <c r="K301" s="26"/>
      <c r="L301" s="27">
        <f t="shared" si="78"/>
        <v>0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  <c r="AA301" s="9"/>
      <c r="AB301" s="9"/>
    </row>
    <row r="302" ht="15.75" hidden="1" customHeight="1" outlineLevel="1">
      <c r="A302" s="14">
        <v>46287.0</v>
      </c>
      <c r="B302" s="17">
        <v>0.1</v>
      </c>
      <c r="C302" s="18">
        <v>0.1</v>
      </c>
      <c r="D302" s="19">
        <v>0.05</v>
      </c>
      <c r="E302" s="20">
        <v>3.0</v>
      </c>
      <c r="F302" s="21">
        <v>1000.0</v>
      </c>
      <c r="G302" s="22">
        <f t="shared" si="75"/>
        <v>0</v>
      </c>
      <c r="H302" s="23">
        <f t="shared" si="76"/>
        <v>0</v>
      </c>
      <c r="I302" s="24">
        <f t="shared" si="77"/>
        <v>0</v>
      </c>
      <c r="J302" s="25"/>
      <c r="K302" s="26"/>
      <c r="L302" s="27">
        <f t="shared" si="78"/>
        <v>0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  <c r="AA302" s="9"/>
      <c r="AB302" s="9"/>
    </row>
    <row r="303" ht="15.75" hidden="1" customHeight="1" outlineLevel="1">
      <c r="A303" s="14">
        <v>46288.0</v>
      </c>
      <c r="B303" s="17">
        <v>0.1</v>
      </c>
      <c r="C303" s="18">
        <v>0.1</v>
      </c>
      <c r="D303" s="19">
        <v>0.05</v>
      </c>
      <c r="E303" s="20">
        <v>3.0</v>
      </c>
      <c r="F303" s="21">
        <v>1000.0</v>
      </c>
      <c r="G303" s="22">
        <f t="shared" si="75"/>
        <v>0</v>
      </c>
      <c r="H303" s="23">
        <f t="shared" si="76"/>
        <v>0</v>
      </c>
      <c r="I303" s="24">
        <f t="shared" si="77"/>
        <v>0</v>
      </c>
      <c r="J303" s="25"/>
      <c r="K303" s="26"/>
      <c r="L303" s="27">
        <f t="shared" si="78"/>
        <v>0</v>
      </c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  <c r="AA303" s="9"/>
      <c r="AB303" s="9"/>
    </row>
    <row r="304" ht="15.75" hidden="1" customHeight="1" outlineLevel="1">
      <c r="A304" s="14">
        <v>46289.0</v>
      </c>
      <c r="B304" s="17">
        <v>0.1</v>
      </c>
      <c r="C304" s="18">
        <v>0.1</v>
      </c>
      <c r="D304" s="19">
        <v>0.05</v>
      </c>
      <c r="E304" s="20">
        <v>3.0</v>
      </c>
      <c r="F304" s="21">
        <v>1000.0</v>
      </c>
      <c r="G304" s="22">
        <f t="shared" si="75"/>
        <v>0</v>
      </c>
      <c r="H304" s="23">
        <f t="shared" si="76"/>
        <v>0</v>
      </c>
      <c r="I304" s="24">
        <f t="shared" si="77"/>
        <v>0</v>
      </c>
      <c r="J304" s="25"/>
      <c r="K304" s="26"/>
      <c r="L304" s="27">
        <f t="shared" si="78"/>
        <v>0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  <c r="AA304" s="9"/>
      <c r="AB304" s="9"/>
    </row>
    <row r="305" ht="15.75" hidden="1" customHeight="1" outlineLevel="1">
      <c r="A305" s="14">
        <v>46290.0</v>
      </c>
      <c r="B305" s="17">
        <v>0.1</v>
      </c>
      <c r="C305" s="18">
        <v>0.1</v>
      </c>
      <c r="D305" s="19">
        <v>0.05</v>
      </c>
      <c r="E305" s="20">
        <v>3.0</v>
      </c>
      <c r="F305" s="21">
        <v>1000.0</v>
      </c>
      <c r="G305" s="22">
        <f t="shared" si="75"/>
        <v>0</v>
      </c>
      <c r="H305" s="23">
        <f t="shared" si="76"/>
        <v>0</v>
      </c>
      <c r="I305" s="24">
        <f t="shared" si="77"/>
        <v>0</v>
      </c>
      <c r="J305" s="25"/>
      <c r="K305" s="26"/>
      <c r="L305" s="27">
        <f t="shared" si="78"/>
        <v>0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  <c r="AA305" s="9"/>
      <c r="AB305" s="9"/>
    </row>
    <row r="306" ht="15.75" hidden="1" customHeight="1" outlineLevel="1">
      <c r="A306" s="14">
        <v>46291.0</v>
      </c>
      <c r="B306" s="17">
        <v>0.1</v>
      </c>
      <c r="C306" s="18">
        <v>0.1</v>
      </c>
      <c r="D306" s="19">
        <v>0.05</v>
      </c>
      <c r="E306" s="20">
        <v>3.0</v>
      </c>
      <c r="F306" s="21">
        <v>1000.0</v>
      </c>
      <c r="G306" s="22">
        <f t="shared" si="75"/>
        <v>0</v>
      </c>
      <c r="H306" s="23">
        <f t="shared" si="76"/>
        <v>0</v>
      </c>
      <c r="I306" s="24">
        <f t="shared" si="77"/>
        <v>0</v>
      </c>
      <c r="J306" s="25"/>
      <c r="K306" s="26"/>
      <c r="L306" s="27">
        <f t="shared" si="78"/>
        <v>0</v>
      </c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  <c r="AA306" s="9"/>
      <c r="AB306" s="9"/>
    </row>
    <row r="307" ht="15.75" hidden="1" customHeight="1" outlineLevel="1">
      <c r="A307" s="14">
        <v>46292.0</v>
      </c>
      <c r="B307" s="17">
        <v>0.1</v>
      </c>
      <c r="C307" s="18">
        <v>0.1</v>
      </c>
      <c r="D307" s="19">
        <v>0.05</v>
      </c>
      <c r="E307" s="20">
        <v>3.0</v>
      </c>
      <c r="F307" s="21">
        <v>1000.0</v>
      </c>
      <c r="G307" s="22">
        <f t="shared" si="75"/>
        <v>0</v>
      </c>
      <c r="H307" s="23">
        <f t="shared" si="76"/>
        <v>0</v>
      </c>
      <c r="I307" s="24">
        <f t="shared" si="77"/>
        <v>0</v>
      </c>
      <c r="J307" s="25"/>
      <c r="K307" s="26"/>
      <c r="L307" s="27">
        <f t="shared" si="78"/>
        <v>0</v>
      </c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  <c r="AA307" s="9"/>
      <c r="AB307" s="9"/>
    </row>
    <row r="308" ht="15.75" hidden="1" customHeight="1" outlineLevel="1">
      <c r="A308" s="14">
        <v>46293.0</v>
      </c>
      <c r="B308" s="17">
        <v>0.1</v>
      </c>
      <c r="C308" s="18">
        <v>0.1</v>
      </c>
      <c r="D308" s="19">
        <v>0.05</v>
      </c>
      <c r="E308" s="20">
        <v>3.0</v>
      </c>
      <c r="F308" s="21">
        <v>1000.0</v>
      </c>
      <c r="G308" s="22">
        <f t="shared" si="75"/>
        <v>0</v>
      </c>
      <c r="H308" s="23">
        <f t="shared" si="76"/>
        <v>0</v>
      </c>
      <c r="I308" s="24">
        <f t="shared" si="77"/>
        <v>0</v>
      </c>
      <c r="J308" s="25"/>
      <c r="K308" s="26"/>
      <c r="L308" s="27">
        <f t="shared" si="78"/>
        <v>0</v>
      </c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  <c r="AA308" s="9"/>
      <c r="AB308" s="9"/>
    </row>
    <row r="309" ht="15.75" hidden="1" customHeight="1" outlineLevel="1">
      <c r="A309" s="14">
        <v>46294.0</v>
      </c>
      <c r="B309" s="17">
        <v>0.1</v>
      </c>
      <c r="C309" s="18">
        <v>0.1</v>
      </c>
      <c r="D309" s="19">
        <v>0.05</v>
      </c>
      <c r="E309" s="20">
        <v>3.0</v>
      </c>
      <c r="F309" s="21">
        <v>1000.0</v>
      </c>
      <c r="G309" s="22">
        <f t="shared" si="75"/>
        <v>0</v>
      </c>
      <c r="H309" s="23">
        <f t="shared" si="76"/>
        <v>0</v>
      </c>
      <c r="I309" s="24">
        <f t="shared" si="77"/>
        <v>0</v>
      </c>
      <c r="J309" s="25"/>
      <c r="K309" s="26"/>
      <c r="L309" s="27">
        <f t="shared" si="78"/>
        <v>0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  <c r="AA309" s="9"/>
      <c r="AB309" s="9"/>
    </row>
    <row r="310" ht="15.75" hidden="1" customHeight="1" outlineLevel="1">
      <c r="A310" s="14">
        <v>46295.0</v>
      </c>
      <c r="B310" s="17">
        <v>0.1</v>
      </c>
      <c r="C310" s="18">
        <v>0.1</v>
      </c>
      <c r="D310" s="19">
        <v>0.05</v>
      </c>
      <c r="E310" s="20">
        <v>3.0</v>
      </c>
      <c r="F310" s="21">
        <v>1000.0</v>
      </c>
      <c r="G310" s="22">
        <f t="shared" si="75"/>
        <v>0</v>
      </c>
      <c r="H310" s="23">
        <f t="shared" si="76"/>
        <v>0</v>
      </c>
      <c r="I310" s="24">
        <f t="shared" si="77"/>
        <v>0</v>
      </c>
      <c r="J310" s="25"/>
      <c r="K310" s="26"/>
      <c r="L310" s="27">
        <f t="shared" si="78"/>
        <v>0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  <c r="AA310" s="9"/>
      <c r="AB310" s="9"/>
    </row>
    <row r="311" ht="15.75" hidden="1" customHeight="1" outlineLevel="1">
      <c r="A311" s="28" t="s">
        <v>18</v>
      </c>
      <c r="C311" s="29">
        <f>SUM(C281:C310)</f>
        <v>3</v>
      </c>
      <c r="D311" s="30"/>
      <c r="E311" s="30"/>
      <c r="F311" s="30"/>
      <c r="G311" s="30"/>
      <c r="H311" s="30"/>
      <c r="I311" s="31">
        <f t="shared" ref="I311:K311" si="79">SUM(I281:I310)</f>
        <v>0</v>
      </c>
      <c r="J311" s="32">
        <f t="shared" si="79"/>
        <v>0</v>
      </c>
      <c r="K311" s="30">
        <f t="shared" si="79"/>
        <v>0</v>
      </c>
      <c r="L311" s="32">
        <f>L310</f>
        <v>0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  <c r="AA311" s="9"/>
      <c r="AB311" s="9"/>
    </row>
    <row r="312" ht="15.75" customHeight="1">
      <c r="A312" s="38"/>
      <c r="B312" s="35"/>
      <c r="C312" s="35"/>
      <c r="D312" s="35"/>
      <c r="E312" s="35"/>
      <c r="F312" s="35"/>
      <c r="G312" s="35"/>
      <c r="H312" s="35"/>
      <c r="I312" s="35"/>
      <c r="J312" s="35"/>
      <c r="K312" s="37">
        <f>SUM(K281:K310)</f>
        <v>0</v>
      </c>
      <c r="L312" s="35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  <c r="AA312" s="9"/>
      <c r="AB312" s="9"/>
    </row>
    <row r="313" ht="15.75" customHeight="1" collapsed="1">
      <c r="A313" s="1" t="s">
        <v>28</v>
      </c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  <c r="AA313" s="9"/>
      <c r="AB313" s="9"/>
    </row>
    <row r="314" ht="15.75" hidden="1" customHeight="1" outlineLevel="1">
      <c r="A314" s="14" t="s">
        <v>6</v>
      </c>
      <c r="B314" s="1" t="s">
        <v>7</v>
      </c>
      <c r="C314" s="1" t="s">
        <v>8</v>
      </c>
      <c r="D314" s="15" t="s">
        <v>9</v>
      </c>
      <c r="E314" s="15" t="s">
        <v>10</v>
      </c>
      <c r="F314" s="15" t="s">
        <v>11</v>
      </c>
      <c r="G314" s="16" t="s">
        <v>12</v>
      </c>
      <c r="H314" s="15" t="s">
        <v>13</v>
      </c>
      <c r="I314" s="1" t="s">
        <v>14</v>
      </c>
      <c r="J314" s="17" t="s">
        <v>15</v>
      </c>
      <c r="K314" s="1" t="s">
        <v>16</v>
      </c>
      <c r="L314" s="1" t="s">
        <v>17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  <c r="AA314" s="9"/>
      <c r="AB314" s="9"/>
    </row>
    <row r="315" ht="15.75" hidden="1" customHeight="1" outlineLevel="1">
      <c r="A315" s="14">
        <v>46296.0</v>
      </c>
      <c r="B315" s="17">
        <v>0.1</v>
      </c>
      <c r="C315" s="18">
        <v>0.1</v>
      </c>
      <c r="D315" s="19">
        <v>0.05</v>
      </c>
      <c r="E315" s="20">
        <v>3.0</v>
      </c>
      <c r="F315" s="21">
        <v>1000.0</v>
      </c>
      <c r="G315" s="22">
        <f>L311*C315</f>
        <v>0</v>
      </c>
      <c r="H315" s="23">
        <f>L311*D315</f>
        <v>0</v>
      </c>
      <c r="I315" s="24">
        <f>(J315/L311)*100</f>
        <v>0</v>
      </c>
      <c r="J315" s="25"/>
      <c r="K315" s="26"/>
      <c r="L315" s="27">
        <f>(L311+J315)-K315</f>
        <v>0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  <c r="AA315" s="9"/>
      <c r="AB315" s="9"/>
    </row>
    <row r="316" ht="15.75" hidden="1" customHeight="1" outlineLevel="1">
      <c r="A316" s="14">
        <v>46297.0</v>
      </c>
      <c r="B316" s="17">
        <v>0.1</v>
      </c>
      <c r="C316" s="18">
        <v>0.1</v>
      </c>
      <c r="D316" s="19">
        <v>0.05</v>
      </c>
      <c r="E316" s="20">
        <v>3.0</v>
      </c>
      <c r="F316" s="21">
        <v>1000.0</v>
      </c>
      <c r="G316" s="22">
        <f t="shared" ref="G316:G345" si="80">L315*C316</f>
        <v>0</v>
      </c>
      <c r="H316" s="23">
        <f t="shared" ref="H316:H345" si="81">L315*D316</f>
        <v>0</v>
      </c>
      <c r="I316" s="24">
        <f t="shared" ref="I316:I345" si="82">(J316/L315)*100</f>
        <v>0</v>
      </c>
      <c r="J316" s="25"/>
      <c r="K316" s="26"/>
      <c r="L316" s="27">
        <f t="shared" ref="L316:L345" si="83">(L315+J316)-K316</f>
        <v>0</v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  <c r="AA316" s="9"/>
      <c r="AB316" s="9"/>
    </row>
    <row r="317" ht="15.75" hidden="1" customHeight="1" outlineLevel="1">
      <c r="A317" s="14">
        <v>46298.0</v>
      </c>
      <c r="B317" s="17">
        <v>0.1</v>
      </c>
      <c r="C317" s="18">
        <v>0.1</v>
      </c>
      <c r="D317" s="19">
        <v>0.05</v>
      </c>
      <c r="E317" s="20">
        <v>3.0</v>
      </c>
      <c r="F317" s="21">
        <v>1000.0</v>
      </c>
      <c r="G317" s="22">
        <f t="shared" si="80"/>
        <v>0</v>
      </c>
      <c r="H317" s="23">
        <f t="shared" si="81"/>
        <v>0</v>
      </c>
      <c r="I317" s="24">
        <f t="shared" si="82"/>
        <v>0</v>
      </c>
      <c r="J317" s="25"/>
      <c r="K317" s="26"/>
      <c r="L317" s="27">
        <f t="shared" si="83"/>
        <v>0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  <c r="AA317" s="9"/>
      <c r="AB317" s="9"/>
    </row>
    <row r="318" ht="15.75" hidden="1" customHeight="1" outlineLevel="1">
      <c r="A318" s="14">
        <v>46299.0</v>
      </c>
      <c r="B318" s="17">
        <v>0.1</v>
      </c>
      <c r="C318" s="18">
        <v>0.1</v>
      </c>
      <c r="D318" s="19">
        <v>0.05</v>
      </c>
      <c r="E318" s="20">
        <v>3.0</v>
      </c>
      <c r="F318" s="21">
        <v>1000.0</v>
      </c>
      <c r="G318" s="22">
        <f t="shared" si="80"/>
        <v>0</v>
      </c>
      <c r="H318" s="23">
        <f t="shared" si="81"/>
        <v>0</v>
      </c>
      <c r="I318" s="24">
        <f t="shared" si="82"/>
        <v>0</v>
      </c>
      <c r="J318" s="25"/>
      <c r="K318" s="26"/>
      <c r="L318" s="27">
        <f t="shared" si="83"/>
        <v>0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  <c r="AA318" s="9"/>
      <c r="AB318" s="9"/>
    </row>
    <row r="319" ht="15.75" hidden="1" customHeight="1" outlineLevel="1">
      <c r="A319" s="14">
        <v>46300.0</v>
      </c>
      <c r="B319" s="17">
        <v>0.1</v>
      </c>
      <c r="C319" s="18">
        <v>0.1</v>
      </c>
      <c r="D319" s="19">
        <v>0.05</v>
      </c>
      <c r="E319" s="20">
        <v>3.0</v>
      </c>
      <c r="F319" s="21">
        <v>1000.0</v>
      </c>
      <c r="G319" s="22">
        <f t="shared" si="80"/>
        <v>0</v>
      </c>
      <c r="H319" s="23">
        <f t="shared" si="81"/>
        <v>0</v>
      </c>
      <c r="I319" s="24">
        <f t="shared" si="82"/>
        <v>0</v>
      </c>
      <c r="J319" s="25"/>
      <c r="K319" s="26"/>
      <c r="L319" s="27">
        <f t="shared" si="83"/>
        <v>0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  <c r="AA319" s="9"/>
      <c r="AB319" s="9"/>
    </row>
    <row r="320" ht="15.75" hidden="1" customHeight="1" outlineLevel="1">
      <c r="A320" s="14">
        <v>46301.0</v>
      </c>
      <c r="B320" s="17">
        <v>0.1</v>
      </c>
      <c r="C320" s="18">
        <v>0.1</v>
      </c>
      <c r="D320" s="19">
        <v>0.05</v>
      </c>
      <c r="E320" s="20">
        <v>3.0</v>
      </c>
      <c r="F320" s="21">
        <v>1000.0</v>
      </c>
      <c r="G320" s="22">
        <f t="shared" si="80"/>
        <v>0</v>
      </c>
      <c r="H320" s="23">
        <f t="shared" si="81"/>
        <v>0</v>
      </c>
      <c r="I320" s="24">
        <f t="shared" si="82"/>
        <v>0</v>
      </c>
      <c r="J320" s="25"/>
      <c r="K320" s="26"/>
      <c r="L320" s="27">
        <f t="shared" si="83"/>
        <v>0</v>
      </c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  <c r="AA320" s="9"/>
      <c r="AB320" s="9"/>
    </row>
    <row r="321" ht="15.75" hidden="1" customHeight="1" outlineLevel="1">
      <c r="A321" s="14">
        <v>46302.0</v>
      </c>
      <c r="B321" s="17">
        <v>0.1</v>
      </c>
      <c r="C321" s="18">
        <v>0.1</v>
      </c>
      <c r="D321" s="19">
        <v>0.05</v>
      </c>
      <c r="E321" s="20">
        <v>3.0</v>
      </c>
      <c r="F321" s="21">
        <v>1000.0</v>
      </c>
      <c r="G321" s="22">
        <f t="shared" si="80"/>
        <v>0</v>
      </c>
      <c r="H321" s="23">
        <f t="shared" si="81"/>
        <v>0</v>
      </c>
      <c r="I321" s="24">
        <f t="shared" si="82"/>
        <v>0</v>
      </c>
      <c r="J321" s="25"/>
      <c r="K321" s="26"/>
      <c r="L321" s="27">
        <f t="shared" si="83"/>
        <v>0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  <c r="AA321" s="9"/>
      <c r="AB321" s="9"/>
    </row>
    <row r="322" ht="15.75" hidden="1" customHeight="1" outlineLevel="1">
      <c r="A322" s="14">
        <v>46303.0</v>
      </c>
      <c r="B322" s="17">
        <v>0.1</v>
      </c>
      <c r="C322" s="18">
        <v>0.1</v>
      </c>
      <c r="D322" s="19">
        <v>0.05</v>
      </c>
      <c r="E322" s="20">
        <v>3.0</v>
      </c>
      <c r="F322" s="21">
        <v>1000.0</v>
      </c>
      <c r="G322" s="22">
        <f t="shared" si="80"/>
        <v>0</v>
      </c>
      <c r="H322" s="23">
        <f t="shared" si="81"/>
        <v>0</v>
      </c>
      <c r="I322" s="24">
        <f t="shared" si="82"/>
        <v>0</v>
      </c>
      <c r="J322" s="25"/>
      <c r="K322" s="26"/>
      <c r="L322" s="27">
        <f t="shared" si="83"/>
        <v>0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  <c r="AA322" s="9"/>
      <c r="AB322" s="9"/>
    </row>
    <row r="323" ht="15.75" hidden="1" customHeight="1" outlineLevel="1">
      <c r="A323" s="14">
        <v>46304.0</v>
      </c>
      <c r="B323" s="17">
        <v>0.1</v>
      </c>
      <c r="C323" s="18">
        <v>0.1</v>
      </c>
      <c r="D323" s="19">
        <v>0.05</v>
      </c>
      <c r="E323" s="20">
        <v>3.0</v>
      </c>
      <c r="F323" s="21">
        <v>1000.0</v>
      </c>
      <c r="G323" s="22">
        <f t="shared" si="80"/>
        <v>0</v>
      </c>
      <c r="H323" s="23">
        <f t="shared" si="81"/>
        <v>0</v>
      </c>
      <c r="I323" s="24">
        <f t="shared" si="82"/>
        <v>0</v>
      </c>
      <c r="J323" s="25"/>
      <c r="K323" s="26"/>
      <c r="L323" s="27">
        <f t="shared" si="83"/>
        <v>0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  <c r="AA323" s="9"/>
      <c r="AB323" s="9"/>
    </row>
    <row r="324" ht="15.75" hidden="1" customHeight="1" outlineLevel="1">
      <c r="A324" s="14">
        <v>46305.0</v>
      </c>
      <c r="B324" s="17">
        <v>0.1</v>
      </c>
      <c r="C324" s="18">
        <v>0.1</v>
      </c>
      <c r="D324" s="19">
        <v>0.05</v>
      </c>
      <c r="E324" s="20">
        <v>3.0</v>
      </c>
      <c r="F324" s="21">
        <v>1000.0</v>
      </c>
      <c r="G324" s="22">
        <f t="shared" si="80"/>
        <v>0</v>
      </c>
      <c r="H324" s="23">
        <f t="shared" si="81"/>
        <v>0</v>
      </c>
      <c r="I324" s="24">
        <f t="shared" si="82"/>
        <v>0</v>
      </c>
      <c r="J324" s="25"/>
      <c r="K324" s="26"/>
      <c r="L324" s="27">
        <f t="shared" si="83"/>
        <v>0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  <c r="AA324" s="9"/>
      <c r="AB324" s="9"/>
    </row>
    <row r="325" ht="15.75" hidden="1" customHeight="1" outlineLevel="1">
      <c r="A325" s="14">
        <v>46306.0</v>
      </c>
      <c r="B325" s="17">
        <v>0.1</v>
      </c>
      <c r="C325" s="18">
        <v>0.1</v>
      </c>
      <c r="D325" s="19">
        <v>0.05</v>
      </c>
      <c r="E325" s="20">
        <v>3.0</v>
      </c>
      <c r="F325" s="21">
        <v>1000.0</v>
      </c>
      <c r="G325" s="22">
        <f t="shared" si="80"/>
        <v>0</v>
      </c>
      <c r="H325" s="23">
        <f t="shared" si="81"/>
        <v>0</v>
      </c>
      <c r="I325" s="24">
        <f t="shared" si="82"/>
        <v>0</v>
      </c>
      <c r="J325" s="25"/>
      <c r="K325" s="26"/>
      <c r="L325" s="27">
        <f t="shared" si="83"/>
        <v>0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  <c r="AA325" s="9"/>
      <c r="AB325" s="9"/>
    </row>
    <row r="326" ht="15.75" hidden="1" customHeight="1" outlineLevel="1">
      <c r="A326" s="14">
        <v>46307.0</v>
      </c>
      <c r="B326" s="17">
        <v>0.1</v>
      </c>
      <c r="C326" s="18">
        <v>0.1</v>
      </c>
      <c r="D326" s="19">
        <v>0.05</v>
      </c>
      <c r="E326" s="20">
        <v>3.0</v>
      </c>
      <c r="F326" s="21">
        <v>1000.0</v>
      </c>
      <c r="G326" s="22">
        <f t="shared" si="80"/>
        <v>0</v>
      </c>
      <c r="H326" s="23">
        <f t="shared" si="81"/>
        <v>0</v>
      </c>
      <c r="I326" s="24">
        <f t="shared" si="82"/>
        <v>0</v>
      </c>
      <c r="J326" s="25"/>
      <c r="K326" s="26"/>
      <c r="L326" s="27">
        <f t="shared" si="83"/>
        <v>0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  <c r="AA326" s="9"/>
      <c r="AB326" s="9"/>
    </row>
    <row r="327" ht="15.75" hidden="1" customHeight="1" outlineLevel="1">
      <c r="A327" s="14">
        <v>46308.0</v>
      </c>
      <c r="B327" s="17">
        <v>0.1</v>
      </c>
      <c r="C327" s="18">
        <v>0.1</v>
      </c>
      <c r="D327" s="19">
        <v>0.05</v>
      </c>
      <c r="E327" s="20">
        <v>3.0</v>
      </c>
      <c r="F327" s="21">
        <v>1000.0</v>
      </c>
      <c r="G327" s="22">
        <f t="shared" si="80"/>
        <v>0</v>
      </c>
      <c r="H327" s="23">
        <f t="shared" si="81"/>
        <v>0</v>
      </c>
      <c r="I327" s="24">
        <f t="shared" si="82"/>
        <v>0</v>
      </c>
      <c r="J327" s="25"/>
      <c r="K327" s="26"/>
      <c r="L327" s="27">
        <f t="shared" si="83"/>
        <v>0</v>
      </c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  <c r="AA327" s="9"/>
      <c r="AB327" s="9"/>
    </row>
    <row r="328" ht="15.75" hidden="1" customHeight="1" outlineLevel="1">
      <c r="A328" s="14">
        <v>46309.0</v>
      </c>
      <c r="B328" s="17">
        <v>0.1</v>
      </c>
      <c r="C328" s="18">
        <v>0.1</v>
      </c>
      <c r="D328" s="19">
        <v>0.05</v>
      </c>
      <c r="E328" s="20">
        <v>3.0</v>
      </c>
      <c r="F328" s="21">
        <v>1000.0</v>
      </c>
      <c r="G328" s="22">
        <f t="shared" si="80"/>
        <v>0</v>
      </c>
      <c r="H328" s="23">
        <f t="shared" si="81"/>
        <v>0</v>
      </c>
      <c r="I328" s="24">
        <f t="shared" si="82"/>
        <v>0</v>
      </c>
      <c r="J328" s="25"/>
      <c r="K328" s="26"/>
      <c r="L328" s="27">
        <f t="shared" si="83"/>
        <v>0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  <c r="AA328" s="9"/>
      <c r="AB328" s="9"/>
    </row>
    <row r="329" ht="15.75" hidden="1" customHeight="1" outlineLevel="1">
      <c r="A329" s="14">
        <v>46310.0</v>
      </c>
      <c r="B329" s="17">
        <v>0.1</v>
      </c>
      <c r="C329" s="18">
        <v>0.1</v>
      </c>
      <c r="D329" s="19">
        <v>0.05</v>
      </c>
      <c r="E329" s="20">
        <v>3.0</v>
      </c>
      <c r="F329" s="21">
        <v>1000.0</v>
      </c>
      <c r="G329" s="22">
        <f t="shared" si="80"/>
        <v>0</v>
      </c>
      <c r="H329" s="23">
        <f t="shared" si="81"/>
        <v>0</v>
      </c>
      <c r="I329" s="24">
        <f t="shared" si="82"/>
        <v>0</v>
      </c>
      <c r="J329" s="25"/>
      <c r="K329" s="26"/>
      <c r="L329" s="27">
        <f t="shared" si="83"/>
        <v>0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  <c r="AA329" s="9"/>
      <c r="AB329" s="9"/>
    </row>
    <row r="330" ht="15.75" hidden="1" customHeight="1" outlineLevel="1">
      <c r="A330" s="14">
        <v>46311.0</v>
      </c>
      <c r="B330" s="17">
        <v>0.1</v>
      </c>
      <c r="C330" s="18">
        <v>0.1</v>
      </c>
      <c r="D330" s="19">
        <v>0.05</v>
      </c>
      <c r="E330" s="20">
        <v>3.0</v>
      </c>
      <c r="F330" s="21">
        <v>1000.0</v>
      </c>
      <c r="G330" s="22">
        <f t="shared" si="80"/>
        <v>0</v>
      </c>
      <c r="H330" s="23">
        <f t="shared" si="81"/>
        <v>0</v>
      </c>
      <c r="I330" s="24">
        <f t="shared" si="82"/>
        <v>0</v>
      </c>
      <c r="J330" s="25"/>
      <c r="K330" s="26"/>
      <c r="L330" s="27">
        <f t="shared" si="83"/>
        <v>0</v>
      </c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  <c r="AA330" s="9"/>
      <c r="AB330" s="9"/>
    </row>
    <row r="331" ht="15.75" hidden="1" customHeight="1" outlineLevel="1">
      <c r="A331" s="14">
        <v>46312.0</v>
      </c>
      <c r="B331" s="17">
        <v>0.1</v>
      </c>
      <c r="C331" s="18">
        <v>0.1</v>
      </c>
      <c r="D331" s="19">
        <v>0.05</v>
      </c>
      <c r="E331" s="20">
        <v>3.0</v>
      </c>
      <c r="F331" s="21">
        <v>1000.0</v>
      </c>
      <c r="G331" s="22">
        <f t="shared" si="80"/>
        <v>0</v>
      </c>
      <c r="H331" s="23">
        <f t="shared" si="81"/>
        <v>0</v>
      </c>
      <c r="I331" s="24">
        <f t="shared" si="82"/>
        <v>0</v>
      </c>
      <c r="J331" s="25"/>
      <c r="K331" s="26"/>
      <c r="L331" s="27">
        <f t="shared" si="83"/>
        <v>0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  <c r="AA331" s="9"/>
      <c r="AB331" s="9"/>
    </row>
    <row r="332" ht="15.75" hidden="1" customHeight="1" outlineLevel="1">
      <c r="A332" s="14">
        <v>46313.0</v>
      </c>
      <c r="B332" s="17">
        <v>0.1</v>
      </c>
      <c r="C332" s="18">
        <v>0.1</v>
      </c>
      <c r="D332" s="19">
        <v>0.05</v>
      </c>
      <c r="E332" s="20">
        <v>3.0</v>
      </c>
      <c r="F332" s="21">
        <v>1000.0</v>
      </c>
      <c r="G332" s="22">
        <f t="shared" si="80"/>
        <v>0</v>
      </c>
      <c r="H332" s="23">
        <f t="shared" si="81"/>
        <v>0</v>
      </c>
      <c r="I332" s="24">
        <f t="shared" si="82"/>
        <v>0</v>
      </c>
      <c r="J332" s="25"/>
      <c r="K332" s="26"/>
      <c r="L332" s="27">
        <f t="shared" si="83"/>
        <v>0</v>
      </c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  <c r="AA332" s="9"/>
      <c r="AB332" s="9"/>
    </row>
    <row r="333" ht="15.75" hidden="1" customHeight="1" outlineLevel="1">
      <c r="A333" s="14">
        <v>46314.0</v>
      </c>
      <c r="B333" s="17">
        <v>0.1</v>
      </c>
      <c r="C333" s="18">
        <v>0.1</v>
      </c>
      <c r="D333" s="19">
        <v>0.05</v>
      </c>
      <c r="E333" s="20">
        <v>3.0</v>
      </c>
      <c r="F333" s="21">
        <v>1000.0</v>
      </c>
      <c r="G333" s="22">
        <f t="shared" si="80"/>
        <v>0</v>
      </c>
      <c r="H333" s="23">
        <f t="shared" si="81"/>
        <v>0</v>
      </c>
      <c r="I333" s="24">
        <f t="shared" si="82"/>
        <v>0</v>
      </c>
      <c r="J333" s="25"/>
      <c r="K333" s="26"/>
      <c r="L333" s="27">
        <f t="shared" si="83"/>
        <v>0</v>
      </c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  <c r="AA333" s="9"/>
      <c r="AB333" s="9"/>
    </row>
    <row r="334" ht="15.75" hidden="1" customHeight="1" outlineLevel="1">
      <c r="A334" s="14">
        <v>46315.0</v>
      </c>
      <c r="B334" s="17">
        <v>0.1</v>
      </c>
      <c r="C334" s="18">
        <v>0.1</v>
      </c>
      <c r="D334" s="19">
        <v>0.05</v>
      </c>
      <c r="E334" s="20">
        <v>3.0</v>
      </c>
      <c r="F334" s="21">
        <v>1000.0</v>
      </c>
      <c r="G334" s="22">
        <f t="shared" si="80"/>
        <v>0</v>
      </c>
      <c r="H334" s="23">
        <f t="shared" si="81"/>
        <v>0</v>
      </c>
      <c r="I334" s="24">
        <f t="shared" si="82"/>
        <v>0</v>
      </c>
      <c r="J334" s="25"/>
      <c r="K334" s="26"/>
      <c r="L334" s="27">
        <f t="shared" si="83"/>
        <v>0</v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  <c r="AA334" s="9"/>
      <c r="AB334" s="9"/>
    </row>
    <row r="335" ht="15.75" hidden="1" customHeight="1" outlineLevel="1">
      <c r="A335" s="14">
        <v>46316.0</v>
      </c>
      <c r="B335" s="17">
        <v>0.1</v>
      </c>
      <c r="C335" s="18">
        <v>0.1</v>
      </c>
      <c r="D335" s="19">
        <v>0.05</v>
      </c>
      <c r="E335" s="20">
        <v>3.0</v>
      </c>
      <c r="F335" s="21">
        <v>1000.0</v>
      </c>
      <c r="G335" s="22">
        <f t="shared" si="80"/>
        <v>0</v>
      </c>
      <c r="H335" s="23">
        <f t="shared" si="81"/>
        <v>0</v>
      </c>
      <c r="I335" s="24">
        <f t="shared" si="82"/>
        <v>0</v>
      </c>
      <c r="J335" s="25"/>
      <c r="K335" s="26"/>
      <c r="L335" s="27">
        <f t="shared" si="83"/>
        <v>0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  <c r="AA335" s="9"/>
      <c r="AB335" s="9"/>
    </row>
    <row r="336" ht="15.75" hidden="1" customHeight="1" outlineLevel="1">
      <c r="A336" s="14">
        <v>46317.0</v>
      </c>
      <c r="B336" s="17">
        <v>0.1</v>
      </c>
      <c r="C336" s="18">
        <v>0.1</v>
      </c>
      <c r="D336" s="19">
        <v>0.05</v>
      </c>
      <c r="E336" s="20">
        <v>3.0</v>
      </c>
      <c r="F336" s="21">
        <v>1000.0</v>
      </c>
      <c r="G336" s="22">
        <f t="shared" si="80"/>
        <v>0</v>
      </c>
      <c r="H336" s="23">
        <f t="shared" si="81"/>
        <v>0</v>
      </c>
      <c r="I336" s="24">
        <f t="shared" si="82"/>
        <v>0</v>
      </c>
      <c r="J336" s="25"/>
      <c r="K336" s="26"/>
      <c r="L336" s="27">
        <f t="shared" si="83"/>
        <v>0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  <c r="AA336" s="9"/>
      <c r="AB336" s="9"/>
    </row>
    <row r="337" ht="15.75" hidden="1" customHeight="1" outlineLevel="1">
      <c r="A337" s="14">
        <v>46318.0</v>
      </c>
      <c r="B337" s="17">
        <v>0.1</v>
      </c>
      <c r="C337" s="18">
        <v>0.1</v>
      </c>
      <c r="D337" s="19">
        <v>0.05</v>
      </c>
      <c r="E337" s="20">
        <v>3.0</v>
      </c>
      <c r="F337" s="21">
        <v>1000.0</v>
      </c>
      <c r="G337" s="22">
        <f t="shared" si="80"/>
        <v>0</v>
      </c>
      <c r="H337" s="23">
        <f t="shared" si="81"/>
        <v>0</v>
      </c>
      <c r="I337" s="24">
        <f t="shared" si="82"/>
        <v>0</v>
      </c>
      <c r="J337" s="25"/>
      <c r="K337" s="26"/>
      <c r="L337" s="27">
        <f t="shared" si="83"/>
        <v>0</v>
      </c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  <c r="AA337" s="9"/>
      <c r="AB337" s="9"/>
    </row>
    <row r="338" ht="15.75" hidden="1" customHeight="1" outlineLevel="1">
      <c r="A338" s="14">
        <v>46319.0</v>
      </c>
      <c r="B338" s="17">
        <v>0.1</v>
      </c>
      <c r="C338" s="18">
        <v>0.1</v>
      </c>
      <c r="D338" s="19">
        <v>0.05</v>
      </c>
      <c r="E338" s="20">
        <v>3.0</v>
      </c>
      <c r="F338" s="21">
        <v>1000.0</v>
      </c>
      <c r="G338" s="22">
        <f t="shared" si="80"/>
        <v>0</v>
      </c>
      <c r="H338" s="23">
        <f t="shared" si="81"/>
        <v>0</v>
      </c>
      <c r="I338" s="24">
        <f t="shared" si="82"/>
        <v>0</v>
      </c>
      <c r="J338" s="25"/>
      <c r="K338" s="26"/>
      <c r="L338" s="27">
        <f t="shared" si="83"/>
        <v>0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  <c r="AA338" s="9"/>
      <c r="AB338" s="9"/>
    </row>
    <row r="339" ht="15.75" hidden="1" customHeight="1" outlineLevel="1">
      <c r="A339" s="14">
        <v>46320.0</v>
      </c>
      <c r="B339" s="17">
        <v>0.1</v>
      </c>
      <c r="C339" s="18">
        <v>0.1</v>
      </c>
      <c r="D339" s="19">
        <v>0.05</v>
      </c>
      <c r="E339" s="20">
        <v>3.0</v>
      </c>
      <c r="F339" s="21">
        <v>1000.0</v>
      </c>
      <c r="G339" s="22">
        <f t="shared" si="80"/>
        <v>0</v>
      </c>
      <c r="H339" s="23">
        <f t="shared" si="81"/>
        <v>0</v>
      </c>
      <c r="I339" s="24">
        <f t="shared" si="82"/>
        <v>0</v>
      </c>
      <c r="J339" s="25"/>
      <c r="K339" s="26"/>
      <c r="L339" s="27">
        <f t="shared" si="83"/>
        <v>0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  <c r="AA339" s="9"/>
      <c r="AB339" s="9"/>
    </row>
    <row r="340" ht="15.75" hidden="1" customHeight="1" outlineLevel="1">
      <c r="A340" s="14">
        <v>46321.0</v>
      </c>
      <c r="B340" s="17">
        <v>0.1</v>
      </c>
      <c r="C340" s="18">
        <v>0.1</v>
      </c>
      <c r="D340" s="19">
        <v>0.05</v>
      </c>
      <c r="E340" s="20">
        <v>3.0</v>
      </c>
      <c r="F340" s="21">
        <v>1000.0</v>
      </c>
      <c r="G340" s="22">
        <f t="shared" si="80"/>
        <v>0</v>
      </c>
      <c r="H340" s="23">
        <f t="shared" si="81"/>
        <v>0</v>
      </c>
      <c r="I340" s="24">
        <f t="shared" si="82"/>
        <v>0</v>
      </c>
      <c r="J340" s="25"/>
      <c r="K340" s="26"/>
      <c r="L340" s="27">
        <f t="shared" si="83"/>
        <v>0</v>
      </c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  <c r="AA340" s="9"/>
      <c r="AB340" s="9"/>
    </row>
    <row r="341" ht="15.75" hidden="1" customHeight="1" outlineLevel="1">
      <c r="A341" s="14">
        <v>46322.0</v>
      </c>
      <c r="B341" s="17">
        <v>0.1</v>
      </c>
      <c r="C341" s="18">
        <v>0.1</v>
      </c>
      <c r="D341" s="19">
        <v>0.05</v>
      </c>
      <c r="E341" s="20">
        <v>3.0</v>
      </c>
      <c r="F341" s="21">
        <v>1000.0</v>
      </c>
      <c r="G341" s="22">
        <f t="shared" si="80"/>
        <v>0</v>
      </c>
      <c r="H341" s="23">
        <f t="shared" si="81"/>
        <v>0</v>
      </c>
      <c r="I341" s="24">
        <f t="shared" si="82"/>
        <v>0</v>
      </c>
      <c r="J341" s="25"/>
      <c r="K341" s="26"/>
      <c r="L341" s="27">
        <f t="shared" si="83"/>
        <v>0</v>
      </c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  <c r="AA341" s="9"/>
      <c r="AB341" s="9"/>
    </row>
    <row r="342" ht="15.75" hidden="1" customHeight="1" outlineLevel="1">
      <c r="A342" s="14">
        <v>46323.0</v>
      </c>
      <c r="B342" s="17">
        <v>0.1</v>
      </c>
      <c r="C342" s="18">
        <v>0.1</v>
      </c>
      <c r="D342" s="19">
        <v>0.05</v>
      </c>
      <c r="E342" s="20">
        <v>3.0</v>
      </c>
      <c r="F342" s="21">
        <v>1000.0</v>
      </c>
      <c r="G342" s="22">
        <f t="shared" si="80"/>
        <v>0</v>
      </c>
      <c r="H342" s="23">
        <f t="shared" si="81"/>
        <v>0</v>
      </c>
      <c r="I342" s="24">
        <f t="shared" si="82"/>
        <v>0</v>
      </c>
      <c r="J342" s="25"/>
      <c r="K342" s="26"/>
      <c r="L342" s="27">
        <f t="shared" si="83"/>
        <v>0</v>
      </c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  <c r="AA342" s="9"/>
      <c r="AB342" s="9"/>
    </row>
    <row r="343" ht="15.75" hidden="1" customHeight="1" outlineLevel="1">
      <c r="A343" s="14">
        <v>46324.0</v>
      </c>
      <c r="B343" s="17">
        <v>0.1</v>
      </c>
      <c r="C343" s="18">
        <v>0.1</v>
      </c>
      <c r="D343" s="19">
        <v>0.05</v>
      </c>
      <c r="E343" s="20">
        <v>3.0</v>
      </c>
      <c r="F343" s="21">
        <v>1000.0</v>
      </c>
      <c r="G343" s="22">
        <f t="shared" si="80"/>
        <v>0</v>
      </c>
      <c r="H343" s="23">
        <f t="shared" si="81"/>
        <v>0</v>
      </c>
      <c r="I343" s="24">
        <f t="shared" si="82"/>
        <v>0</v>
      </c>
      <c r="J343" s="25"/>
      <c r="K343" s="26"/>
      <c r="L343" s="27">
        <f t="shared" si="83"/>
        <v>0</v>
      </c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  <c r="AA343" s="9"/>
      <c r="AB343" s="9"/>
    </row>
    <row r="344" ht="15.75" hidden="1" customHeight="1" outlineLevel="1">
      <c r="A344" s="14">
        <v>46325.0</v>
      </c>
      <c r="B344" s="17">
        <v>0.1</v>
      </c>
      <c r="C344" s="18">
        <v>0.1</v>
      </c>
      <c r="D344" s="19">
        <v>0.05</v>
      </c>
      <c r="E344" s="20">
        <v>3.0</v>
      </c>
      <c r="F344" s="21">
        <v>1000.0</v>
      </c>
      <c r="G344" s="22">
        <f t="shared" si="80"/>
        <v>0</v>
      </c>
      <c r="H344" s="23">
        <f t="shared" si="81"/>
        <v>0</v>
      </c>
      <c r="I344" s="24">
        <f t="shared" si="82"/>
        <v>0</v>
      </c>
      <c r="J344" s="25"/>
      <c r="K344" s="26"/>
      <c r="L344" s="27">
        <f t="shared" si="83"/>
        <v>0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  <c r="AA344" s="9"/>
      <c r="AB344" s="9"/>
    </row>
    <row r="345" ht="15.75" hidden="1" customHeight="1" outlineLevel="1">
      <c r="A345" s="14">
        <v>46326.0</v>
      </c>
      <c r="B345" s="17">
        <v>0.1</v>
      </c>
      <c r="C345" s="18">
        <v>0.1</v>
      </c>
      <c r="D345" s="19">
        <v>0.05</v>
      </c>
      <c r="E345" s="20">
        <v>3.0</v>
      </c>
      <c r="F345" s="21">
        <v>1000.0</v>
      </c>
      <c r="G345" s="22">
        <f t="shared" si="80"/>
        <v>0</v>
      </c>
      <c r="H345" s="23">
        <f t="shared" si="81"/>
        <v>0</v>
      </c>
      <c r="I345" s="24">
        <f t="shared" si="82"/>
        <v>0</v>
      </c>
      <c r="J345" s="25"/>
      <c r="K345" s="26"/>
      <c r="L345" s="27">
        <f t="shared" si="83"/>
        <v>0</v>
      </c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  <c r="AA345" s="9"/>
      <c r="AB345" s="9"/>
    </row>
    <row r="346" ht="15.75" hidden="1" customHeight="1" outlineLevel="1">
      <c r="A346" s="28" t="s">
        <v>18</v>
      </c>
      <c r="C346" s="29">
        <f>SUM(C315:C345)</f>
        <v>3.1</v>
      </c>
      <c r="D346" s="30"/>
      <c r="E346" s="30"/>
      <c r="F346" s="30"/>
      <c r="G346" s="30"/>
      <c r="H346" s="30"/>
      <c r="I346" s="31">
        <f t="shared" ref="I346:K346" si="84">SUM(I315:I345)</f>
        <v>0</v>
      </c>
      <c r="J346" s="32">
        <f t="shared" si="84"/>
        <v>0</v>
      </c>
      <c r="K346" s="30">
        <f t="shared" si="84"/>
        <v>0</v>
      </c>
      <c r="L346" s="32">
        <f>L345</f>
        <v>0</v>
      </c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  <c r="AA346" s="9"/>
      <c r="AB346" s="9"/>
    </row>
    <row r="347" ht="15.75" customHeight="1">
      <c r="A347" s="38"/>
      <c r="B347" s="35"/>
      <c r="C347" s="35"/>
      <c r="D347" s="35"/>
      <c r="E347" s="35"/>
      <c r="F347" s="35"/>
      <c r="G347" s="35"/>
      <c r="H347" s="35"/>
      <c r="I347" s="35"/>
      <c r="J347" s="35"/>
      <c r="K347" s="37">
        <f>SUM(K315:K345)</f>
        <v>0</v>
      </c>
      <c r="L347" s="35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  <c r="AA347" s="9"/>
      <c r="AB347" s="9"/>
    </row>
    <row r="348" ht="15.75" customHeight="1" collapsed="1">
      <c r="A348" s="1" t="s">
        <v>29</v>
      </c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  <c r="AA348" s="9"/>
      <c r="AB348" s="9"/>
    </row>
    <row r="349" ht="15.75" hidden="1" customHeight="1" outlineLevel="1">
      <c r="A349" s="14" t="s">
        <v>6</v>
      </c>
      <c r="B349" s="1" t="s">
        <v>7</v>
      </c>
      <c r="C349" s="1" t="s">
        <v>8</v>
      </c>
      <c r="D349" s="15" t="s">
        <v>9</v>
      </c>
      <c r="E349" s="15" t="s">
        <v>10</v>
      </c>
      <c r="F349" s="15" t="s">
        <v>11</v>
      </c>
      <c r="G349" s="16" t="s">
        <v>12</v>
      </c>
      <c r="H349" s="15" t="s">
        <v>13</v>
      </c>
      <c r="I349" s="1" t="s">
        <v>14</v>
      </c>
      <c r="J349" s="17" t="s">
        <v>15</v>
      </c>
      <c r="K349" s="1" t="s">
        <v>16</v>
      </c>
      <c r="L349" s="1" t="s">
        <v>17</v>
      </c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  <c r="AA349" s="9"/>
      <c r="AB349" s="9"/>
    </row>
    <row r="350" ht="15.75" hidden="1" customHeight="1" outlineLevel="1">
      <c r="A350" s="14">
        <v>46327.0</v>
      </c>
      <c r="B350" s="17">
        <v>0.1</v>
      </c>
      <c r="C350" s="18">
        <v>0.1</v>
      </c>
      <c r="D350" s="19">
        <v>0.05</v>
      </c>
      <c r="E350" s="20">
        <v>3.0</v>
      </c>
      <c r="F350" s="21">
        <v>1000.0</v>
      </c>
      <c r="G350" s="22">
        <f>L346*C350</f>
        <v>0</v>
      </c>
      <c r="H350" s="23">
        <f>L346*D350</f>
        <v>0</v>
      </c>
      <c r="I350" s="24">
        <f>(J350/L346)*100</f>
        <v>0</v>
      </c>
      <c r="J350" s="25"/>
      <c r="K350" s="26"/>
      <c r="L350" s="27">
        <f>(L346+J350)-K350</f>
        <v>0</v>
      </c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/>
      <c r="AA350" s="9"/>
      <c r="AB350" s="9"/>
    </row>
    <row r="351" ht="15.75" hidden="1" customHeight="1" outlineLevel="1">
      <c r="A351" s="14">
        <v>46328.0</v>
      </c>
      <c r="B351" s="17">
        <v>0.1</v>
      </c>
      <c r="C351" s="18">
        <v>0.1</v>
      </c>
      <c r="D351" s="19">
        <v>0.05</v>
      </c>
      <c r="E351" s="20">
        <v>3.0</v>
      </c>
      <c r="F351" s="21">
        <v>1000.0</v>
      </c>
      <c r="G351" s="22">
        <f t="shared" ref="G351:G379" si="85">L350*C351</f>
        <v>0</v>
      </c>
      <c r="H351" s="23">
        <f t="shared" ref="H351:H379" si="86">L350*D351</f>
        <v>0</v>
      </c>
      <c r="I351" s="24">
        <f t="shared" ref="I351:I379" si="87">(J351/L350)*100</f>
        <v>0</v>
      </c>
      <c r="J351" s="25"/>
      <c r="K351" s="26"/>
      <c r="L351" s="27">
        <f t="shared" ref="L351:L379" si="88">(L350+J351)-K351</f>
        <v>0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  <c r="AA351" s="9"/>
      <c r="AB351" s="9"/>
    </row>
    <row r="352" ht="15.75" hidden="1" customHeight="1" outlineLevel="1">
      <c r="A352" s="14">
        <v>46329.0</v>
      </c>
      <c r="B352" s="17">
        <v>0.1</v>
      </c>
      <c r="C352" s="18">
        <v>0.1</v>
      </c>
      <c r="D352" s="19">
        <v>0.05</v>
      </c>
      <c r="E352" s="20">
        <v>3.0</v>
      </c>
      <c r="F352" s="21">
        <v>1000.0</v>
      </c>
      <c r="G352" s="22">
        <f t="shared" si="85"/>
        <v>0</v>
      </c>
      <c r="H352" s="23">
        <f t="shared" si="86"/>
        <v>0</v>
      </c>
      <c r="I352" s="24">
        <f t="shared" si="87"/>
        <v>0</v>
      </c>
      <c r="J352" s="25"/>
      <c r="K352" s="26"/>
      <c r="L352" s="27">
        <f t="shared" si="88"/>
        <v>0</v>
      </c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  <c r="AA352" s="9"/>
      <c r="AB352" s="9"/>
    </row>
    <row r="353" ht="15.75" hidden="1" customHeight="1" outlineLevel="1">
      <c r="A353" s="14">
        <v>46330.0</v>
      </c>
      <c r="B353" s="17">
        <v>0.1</v>
      </c>
      <c r="C353" s="18">
        <v>0.1</v>
      </c>
      <c r="D353" s="19">
        <v>0.05</v>
      </c>
      <c r="E353" s="20">
        <v>3.0</v>
      </c>
      <c r="F353" s="21">
        <v>1000.0</v>
      </c>
      <c r="G353" s="22">
        <f t="shared" si="85"/>
        <v>0</v>
      </c>
      <c r="H353" s="23">
        <f t="shared" si="86"/>
        <v>0</v>
      </c>
      <c r="I353" s="24">
        <f t="shared" si="87"/>
        <v>0</v>
      </c>
      <c r="J353" s="25"/>
      <c r="K353" s="26"/>
      <c r="L353" s="27">
        <f t="shared" si="88"/>
        <v>0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  <c r="AA353" s="9"/>
      <c r="AB353" s="9"/>
    </row>
    <row r="354" ht="15.75" hidden="1" customHeight="1" outlineLevel="1">
      <c r="A354" s="14">
        <v>46331.0</v>
      </c>
      <c r="B354" s="17">
        <v>0.1</v>
      </c>
      <c r="C354" s="18">
        <v>0.1</v>
      </c>
      <c r="D354" s="19">
        <v>0.05</v>
      </c>
      <c r="E354" s="20">
        <v>3.0</v>
      </c>
      <c r="F354" s="21">
        <v>1000.0</v>
      </c>
      <c r="G354" s="22">
        <f t="shared" si="85"/>
        <v>0</v>
      </c>
      <c r="H354" s="23">
        <f t="shared" si="86"/>
        <v>0</v>
      </c>
      <c r="I354" s="24">
        <f t="shared" si="87"/>
        <v>0</v>
      </c>
      <c r="J354" s="25"/>
      <c r="K354" s="26"/>
      <c r="L354" s="27">
        <f t="shared" si="88"/>
        <v>0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  <c r="AA354" s="9"/>
      <c r="AB354" s="9"/>
    </row>
    <row r="355" ht="15.75" hidden="1" customHeight="1" outlineLevel="1">
      <c r="A355" s="14">
        <v>46332.0</v>
      </c>
      <c r="B355" s="17">
        <v>0.1</v>
      </c>
      <c r="C355" s="18">
        <v>0.1</v>
      </c>
      <c r="D355" s="19">
        <v>0.05</v>
      </c>
      <c r="E355" s="20">
        <v>3.0</v>
      </c>
      <c r="F355" s="21">
        <v>1000.0</v>
      </c>
      <c r="G355" s="22">
        <f t="shared" si="85"/>
        <v>0</v>
      </c>
      <c r="H355" s="23">
        <f t="shared" si="86"/>
        <v>0</v>
      </c>
      <c r="I355" s="24">
        <f t="shared" si="87"/>
        <v>0</v>
      </c>
      <c r="J355" s="25"/>
      <c r="K355" s="26"/>
      <c r="L355" s="27">
        <f t="shared" si="88"/>
        <v>0</v>
      </c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/>
      <c r="AA355" s="9"/>
      <c r="AB355" s="9"/>
    </row>
    <row r="356" ht="15.75" hidden="1" customHeight="1" outlineLevel="1">
      <c r="A356" s="14">
        <v>46333.0</v>
      </c>
      <c r="B356" s="17">
        <v>0.1</v>
      </c>
      <c r="C356" s="18">
        <v>0.1</v>
      </c>
      <c r="D356" s="19">
        <v>0.05</v>
      </c>
      <c r="E356" s="20">
        <v>3.0</v>
      </c>
      <c r="F356" s="21">
        <v>1000.0</v>
      </c>
      <c r="G356" s="22">
        <f t="shared" si="85"/>
        <v>0</v>
      </c>
      <c r="H356" s="23">
        <f t="shared" si="86"/>
        <v>0</v>
      </c>
      <c r="I356" s="24">
        <f t="shared" si="87"/>
        <v>0</v>
      </c>
      <c r="J356" s="25"/>
      <c r="K356" s="26"/>
      <c r="L356" s="27">
        <f t="shared" si="88"/>
        <v>0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  <c r="AA356" s="9"/>
      <c r="AB356" s="9"/>
    </row>
    <row r="357" ht="15.75" hidden="1" customHeight="1" outlineLevel="1">
      <c r="A357" s="14">
        <v>46334.0</v>
      </c>
      <c r="B357" s="17">
        <v>0.1</v>
      </c>
      <c r="C357" s="18">
        <v>0.1</v>
      </c>
      <c r="D357" s="19">
        <v>0.05</v>
      </c>
      <c r="E357" s="20">
        <v>3.0</v>
      </c>
      <c r="F357" s="21">
        <v>1000.0</v>
      </c>
      <c r="G357" s="22">
        <f t="shared" si="85"/>
        <v>0</v>
      </c>
      <c r="H357" s="23">
        <f t="shared" si="86"/>
        <v>0</v>
      </c>
      <c r="I357" s="24">
        <f t="shared" si="87"/>
        <v>0</v>
      </c>
      <c r="J357" s="25"/>
      <c r="K357" s="26"/>
      <c r="L357" s="27">
        <f t="shared" si="88"/>
        <v>0</v>
      </c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  <c r="AA357" s="9"/>
      <c r="AB357" s="9"/>
    </row>
    <row r="358" ht="15.75" hidden="1" customHeight="1" outlineLevel="1">
      <c r="A358" s="14">
        <v>46335.0</v>
      </c>
      <c r="B358" s="17">
        <v>0.1</v>
      </c>
      <c r="C358" s="18">
        <v>0.1</v>
      </c>
      <c r="D358" s="19">
        <v>0.05</v>
      </c>
      <c r="E358" s="20">
        <v>3.0</v>
      </c>
      <c r="F358" s="21">
        <v>1000.0</v>
      </c>
      <c r="G358" s="22">
        <f t="shared" si="85"/>
        <v>0</v>
      </c>
      <c r="H358" s="23">
        <f t="shared" si="86"/>
        <v>0</v>
      </c>
      <c r="I358" s="24">
        <f t="shared" si="87"/>
        <v>0</v>
      </c>
      <c r="J358" s="25"/>
      <c r="K358" s="26"/>
      <c r="L358" s="27">
        <f t="shared" si="88"/>
        <v>0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  <c r="AA358" s="9"/>
      <c r="AB358" s="9"/>
    </row>
    <row r="359" ht="15.75" hidden="1" customHeight="1" outlineLevel="1">
      <c r="A359" s="14">
        <v>46336.0</v>
      </c>
      <c r="B359" s="17">
        <v>0.1</v>
      </c>
      <c r="C359" s="18">
        <v>0.1</v>
      </c>
      <c r="D359" s="19">
        <v>0.05</v>
      </c>
      <c r="E359" s="20">
        <v>3.0</v>
      </c>
      <c r="F359" s="21">
        <v>1000.0</v>
      </c>
      <c r="G359" s="22">
        <f t="shared" si="85"/>
        <v>0</v>
      </c>
      <c r="H359" s="23">
        <f t="shared" si="86"/>
        <v>0</v>
      </c>
      <c r="I359" s="24">
        <f t="shared" si="87"/>
        <v>0</v>
      </c>
      <c r="J359" s="25"/>
      <c r="K359" s="26"/>
      <c r="L359" s="27">
        <f t="shared" si="88"/>
        <v>0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  <c r="AA359" s="9"/>
      <c r="AB359" s="9"/>
    </row>
    <row r="360" ht="15.75" hidden="1" customHeight="1" outlineLevel="1">
      <c r="A360" s="14">
        <v>46337.0</v>
      </c>
      <c r="B360" s="17">
        <v>0.1</v>
      </c>
      <c r="C360" s="18">
        <v>0.1</v>
      </c>
      <c r="D360" s="19">
        <v>0.05</v>
      </c>
      <c r="E360" s="20">
        <v>3.0</v>
      </c>
      <c r="F360" s="21">
        <v>1000.0</v>
      </c>
      <c r="G360" s="22">
        <f t="shared" si="85"/>
        <v>0</v>
      </c>
      <c r="H360" s="23">
        <f t="shared" si="86"/>
        <v>0</v>
      </c>
      <c r="I360" s="24">
        <f t="shared" si="87"/>
        <v>0</v>
      </c>
      <c r="J360" s="25"/>
      <c r="K360" s="26"/>
      <c r="L360" s="27">
        <f t="shared" si="88"/>
        <v>0</v>
      </c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9"/>
      <c r="AA360" s="9"/>
      <c r="AB360" s="9"/>
    </row>
    <row r="361" ht="15.75" hidden="1" customHeight="1" outlineLevel="1">
      <c r="A361" s="14">
        <v>46338.0</v>
      </c>
      <c r="B361" s="17">
        <v>0.1</v>
      </c>
      <c r="C361" s="18">
        <v>0.1</v>
      </c>
      <c r="D361" s="19">
        <v>0.05</v>
      </c>
      <c r="E361" s="20">
        <v>3.0</v>
      </c>
      <c r="F361" s="21">
        <v>1000.0</v>
      </c>
      <c r="G361" s="22">
        <f t="shared" si="85"/>
        <v>0</v>
      </c>
      <c r="H361" s="23">
        <f t="shared" si="86"/>
        <v>0</v>
      </c>
      <c r="I361" s="24">
        <f t="shared" si="87"/>
        <v>0</v>
      </c>
      <c r="J361" s="25"/>
      <c r="K361" s="26"/>
      <c r="L361" s="27">
        <f t="shared" si="88"/>
        <v>0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  <c r="AA361" s="9"/>
      <c r="AB361" s="9"/>
    </row>
    <row r="362" ht="15.75" hidden="1" customHeight="1" outlineLevel="1">
      <c r="A362" s="14">
        <v>46339.0</v>
      </c>
      <c r="B362" s="17">
        <v>0.1</v>
      </c>
      <c r="C362" s="18">
        <v>0.1</v>
      </c>
      <c r="D362" s="19">
        <v>0.05</v>
      </c>
      <c r="E362" s="20">
        <v>3.0</v>
      </c>
      <c r="F362" s="21">
        <v>1000.0</v>
      </c>
      <c r="G362" s="22">
        <f t="shared" si="85"/>
        <v>0</v>
      </c>
      <c r="H362" s="23">
        <f t="shared" si="86"/>
        <v>0</v>
      </c>
      <c r="I362" s="24">
        <f t="shared" si="87"/>
        <v>0</v>
      </c>
      <c r="J362" s="25"/>
      <c r="K362" s="26"/>
      <c r="L362" s="27">
        <f t="shared" si="88"/>
        <v>0</v>
      </c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  <c r="AA362" s="9"/>
      <c r="AB362" s="9"/>
    </row>
    <row r="363" ht="15.75" hidden="1" customHeight="1" outlineLevel="1">
      <c r="A363" s="14">
        <v>46340.0</v>
      </c>
      <c r="B363" s="17">
        <v>0.1</v>
      </c>
      <c r="C363" s="18">
        <v>0.1</v>
      </c>
      <c r="D363" s="19">
        <v>0.05</v>
      </c>
      <c r="E363" s="20">
        <v>3.0</v>
      </c>
      <c r="F363" s="21">
        <v>1000.0</v>
      </c>
      <c r="G363" s="22">
        <f t="shared" si="85"/>
        <v>0</v>
      </c>
      <c r="H363" s="23">
        <f t="shared" si="86"/>
        <v>0</v>
      </c>
      <c r="I363" s="24">
        <f t="shared" si="87"/>
        <v>0</v>
      </c>
      <c r="J363" s="25"/>
      <c r="K363" s="26"/>
      <c r="L363" s="27">
        <f t="shared" si="88"/>
        <v>0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  <c r="AA363" s="9"/>
      <c r="AB363" s="9"/>
    </row>
    <row r="364" ht="15.75" hidden="1" customHeight="1" outlineLevel="1">
      <c r="A364" s="14">
        <v>46341.0</v>
      </c>
      <c r="B364" s="17">
        <v>0.1</v>
      </c>
      <c r="C364" s="18">
        <v>0.1</v>
      </c>
      <c r="D364" s="19">
        <v>0.05</v>
      </c>
      <c r="E364" s="20">
        <v>3.0</v>
      </c>
      <c r="F364" s="21">
        <v>1000.0</v>
      </c>
      <c r="G364" s="22">
        <f t="shared" si="85"/>
        <v>0</v>
      </c>
      <c r="H364" s="23">
        <f t="shared" si="86"/>
        <v>0</v>
      </c>
      <c r="I364" s="24">
        <f t="shared" si="87"/>
        <v>0</v>
      </c>
      <c r="J364" s="25"/>
      <c r="K364" s="26"/>
      <c r="L364" s="27">
        <f t="shared" si="88"/>
        <v>0</v>
      </c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  <c r="AA364" s="9"/>
      <c r="AB364" s="9"/>
    </row>
    <row r="365" ht="15.75" hidden="1" customHeight="1" outlineLevel="1">
      <c r="A365" s="14">
        <v>46342.0</v>
      </c>
      <c r="B365" s="17">
        <v>0.1</v>
      </c>
      <c r="C365" s="18">
        <v>0.1</v>
      </c>
      <c r="D365" s="19">
        <v>0.05</v>
      </c>
      <c r="E365" s="20">
        <v>3.0</v>
      </c>
      <c r="F365" s="21">
        <v>1000.0</v>
      </c>
      <c r="G365" s="22">
        <f t="shared" si="85"/>
        <v>0</v>
      </c>
      <c r="H365" s="23">
        <f t="shared" si="86"/>
        <v>0</v>
      </c>
      <c r="I365" s="24">
        <f t="shared" si="87"/>
        <v>0</v>
      </c>
      <c r="J365" s="25"/>
      <c r="K365" s="26"/>
      <c r="L365" s="27">
        <f t="shared" si="88"/>
        <v>0</v>
      </c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/>
      <c r="AA365" s="9"/>
      <c r="AB365" s="9"/>
    </row>
    <row r="366" ht="15.75" hidden="1" customHeight="1" outlineLevel="1">
      <c r="A366" s="14">
        <v>46343.0</v>
      </c>
      <c r="B366" s="17">
        <v>0.1</v>
      </c>
      <c r="C366" s="18">
        <v>0.1</v>
      </c>
      <c r="D366" s="19">
        <v>0.05</v>
      </c>
      <c r="E366" s="20">
        <v>3.0</v>
      </c>
      <c r="F366" s="21">
        <v>1000.0</v>
      </c>
      <c r="G366" s="22">
        <f t="shared" si="85"/>
        <v>0</v>
      </c>
      <c r="H366" s="23">
        <f t="shared" si="86"/>
        <v>0</v>
      </c>
      <c r="I366" s="24">
        <f t="shared" si="87"/>
        <v>0</v>
      </c>
      <c r="J366" s="25"/>
      <c r="K366" s="26"/>
      <c r="L366" s="27">
        <f t="shared" si="88"/>
        <v>0</v>
      </c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  <c r="AA366" s="9"/>
      <c r="AB366" s="9"/>
    </row>
    <row r="367" ht="15.75" hidden="1" customHeight="1" outlineLevel="1">
      <c r="A367" s="14">
        <v>46344.0</v>
      </c>
      <c r="B367" s="17">
        <v>0.1</v>
      </c>
      <c r="C367" s="18">
        <v>0.1</v>
      </c>
      <c r="D367" s="19">
        <v>0.05</v>
      </c>
      <c r="E367" s="20">
        <v>3.0</v>
      </c>
      <c r="F367" s="21">
        <v>1000.0</v>
      </c>
      <c r="G367" s="22">
        <f t="shared" si="85"/>
        <v>0</v>
      </c>
      <c r="H367" s="23">
        <f t="shared" si="86"/>
        <v>0</v>
      </c>
      <c r="I367" s="24">
        <f t="shared" si="87"/>
        <v>0</v>
      </c>
      <c r="J367" s="25"/>
      <c r="K367" s="26"/>
      <c r="L367" s="27">
        <f t="shared" si="88"/>
        <v>0</v>
      </c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  <c r="AA367" s="9"/>
      <c r="AB367" s="9"/>
    </row>
    <row r="368" ht="15.75" hidden="1" customHeight="1" outlineLevel="1">
      <c r="A368" s="14">
        <v>46345.0</v>
      </c>
      <c r="B368" s="17">
        <v>0.1</v>
      </c>
      <c r="C368" s="18">
        <v>0.1</v>
      </c>
      <c r="D368" s="19">
        <v>0.05</v>
      </c>
      <c r="E368" s="20">
        <v>3.0</v>
      </c>
      <c r="F368" s="21">
        <v>1000.0</v>
      </c>
      <c r="G368" s="22">
        <f t="shared" si="85"/>
        <v>0</v>
      </c>
      <c r="H368" s="23">
        <f t="shared" si="86"/>
        <v>0</v>
      </c>
      <c r="I368" s="24">
        <f t="shared" si="87"/>
        <v>0</v>
      </c>
      <c r="J368" s="25"/>
      <c r="K368" s="26"/>
      <c r="L368" s="27">
        <f t="shared" si="88"/>
        <v>0</v>
      </c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  <c r="AA368" s="9"/>
      <c r="AB368" s="9"/>
    </row>
    <row r="369" ht="15.75" hidden="1" customHeight="1" outlineLevel="1">
      <c r="A369" s="14">
        <v>46346.0</v>
      </c>
      <c r="B369" s="17">
        <v>0.1</v>
      </c>
      <c r="C369" s="18">
        <v>0.1</v>
      </c>
      <c r="D369" s="19">
        <v>0.05</v>
      </c>
      <c r="E369" s="20">
        <v>3.0</v>
      </c>
      <c r="F369" s="21">
        <v>1000.0</v>
      </c>
      <c r="G369" s="22">
        <f t="shared" si="85"/>
        <v>0</v>
      </c>
      <c r="H369" s="23">
        <f t="shared" si="86"/>
        <v>0</v>
      </c>
      <c r="I369" s="24">
        <f t="shared" si="87"/>
        <v>0</v>
      </c>
      <c r="J369" s="25"/>
      <c r="K369" s="26"/>
      <c r="L369" s="27">
        <f t="shared" si="88"/>
        <v>0</v>
      </c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  <c r="AA369" s="9"/>
      <c r="AB369" s="9"/>
    </row>
    <row r="370" ht="15.75" hidden="1" customHeight="1" outlineLevel="1">
      <c r="A370" s="14">
        <v>46347.0</v>
      </c>
      <c r="B370" s="17">
        <v>0.1</v>
      </c>
      <c r="C370" s="18">
        <v>0.1</v>
      </c>
      <c r="D370" s="19">
        <v>0.05</v>
      </c>
      <c r="E370" s="20">
        <v>3.0</v>
      </c>
      <c r="F370" s="21">
        <v>1000.0</v>
      </c>
      <c r="G370" s="22">
        <f t="shared" si="85"/>
        <v>0</v>
      </c>
      <c r="H370" s="23">
        <f t="shared" si="86"/>
        <v>0</v>
      </c>
      <c r="I370" s="24">
        <f t="shared" si="87"/>
        <v>0</v>
      </c>
      <c r="J370" s="25"/>
      <c r="K370" s="26"/>
      <c r="L370" s="27">
        <f t="shared" si="88"/>
        <v>0</v>
      </c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9"/>
      <c r="AA370" s="9"/>
      <c r="AB370" s="9"/>
    </row>
    <row r="371" ht="15.75" hidden="1" customHeight="1" outlineLevel="1">
      <c r="A371" s="14">
        <v>46348.0</v>
      </c>
      <c r="B371" s="17">
        <v>0.1</v>
      </c>
      <c r="C371" s="18">
        <v>0.1</v>
      </c>
      <c r="D371" s="19">
        <v>0.05</v>
      </c>
      <c r="E371" s="20">
        <v>3.0</v>
      </c>
      <c r="F371" s="21">
        <v>1000.0</v>
      </c>
      <c r="G371" s="22">
        <f t="shared" si="85"/>
        <v>0</v>
      </c>
      <c r="H371" s="23">
        <f t="shared" si="86"/>
        <v>0</v>
      </c>
      <c r="I371" s="24">
        <f t="shared" si="87"/>
        <v>0</v>
      </c>
      <c r="J371" s="25"/>
      <c r="K371" s="26"/>
      <c r="L371" s="27">
        <f t="shared" si="88"/>
        <v>0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  <c r="AA371" s="9"/>
      <c r="AB371" s="9"/>
    </row>
    <row r="372" ht="15.75" hidden="1" customHeight="1" outlineLevel="1">
      <c r="A372" s="14">
        <v>46349.0</v>
      </c>
      <c r="B372" s="17">
        <v>0.1</v>
      </c>
      <c r="C372" s="18">
        <v>0.1</v>
      </c>
      <c r="D372" s="19">
        <v>0.05</v>
      </c>
      <c r="E372" s="20">
        <v>3.0</v>
      </c>
      <c r="F372" s="21">
        <v>1000.0</v>
      </c>
      <c r="G372" s="22">
        <f t="shared" si="85"/>
        <v>0</v>
      </c>
      <c r="H372" s="23">
        <f t="shared" si="86"/>
        <v>0</v>
      </c>
      <c r="I372" s="24">
        <f t="shared" si="87"/>
        <v>0</v>
      </c>
      <c r="J372" s="25"/>
      <c r="K372" s="26"/>
      <c r="L372" s="27">
        <f t="shared" si="88"/>
        <v>0</v>
      </c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  <c r="AA372" s="9"/>
      <c r="AB372" s="9"/>
    </row>
    <row r="373" ht="15.75" hidden="1" customHeight="1" outlineLevel="1">
      <c r="A373" s="14">
        <v>46350.0</v>
      </c>
      <c r="B373" s="17">
        <v>0.1</v>
      </c>
      <c r="C373" s="18">
        <v>0.1</v>
      </c>
      <c r="D373" s="19">
        <v>0.05</v>
      </c>
      <c r="E373" s="20">
        <v>3.0</v>
      </c>
      <c r="F373" s="21">
        <v>1000.0</v>
      </c>
      <c r="G373" s="22">
        <f t="shared" si="85"/>
        <v>0</v>
      </c>
      <c r="H373" s="23">
        <f t="shared" si="86"/>
        <v>0</v>
      </c>
      <c r="I373" s="24">
        <f t="shared" si="87"/>
        <v>0</v>
      </c>
      <c r="J373" s="25"/>
      <c r="K373" s="26"/>
      <c r="L373" s="27">
        <f t="shared" si="88"/>
        <v>0</v>
      </c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  <c r="AA373" s="9"/>
      <c r="AB373" s="9"/>
    </row>
    <row r="374" ht="15.75" hidden="1" customHeight="1" outlineLevel="1">
      <c r="A374" s="14">
        <v>46351.0</v>
      </c>
      <c r="B374" s="17">
        <v>0.1</v>
      </c>
      <c r="C374" s="18">
        <v>0.1</v>
      </c>
      <c r="D374" s="19">
        <v>0.05</v>
      </c>
      <c r="E374" s="20">
        <v>3.0</v>
      </c>
      <c r="F374" s="21">
        <v>1000.0</v>
      </c>
      <c r="G374" s="22">
        <f t="shared" si="85"/>
        <v>0</v>
      </c>
      <c r="H374" s="23">
        <f t="shared" si="86"/>
        <v>0</v>
      </c>
      <c r="I374" s="24">
        <f t="shared" si="87"/>
        <v>0</v>
      </c>
      <c r="J374" s="25"/>
      <c r="K374" s="26"/>
      <c r="L374" s="27">
        <f t="shared" si="88"/>
        <v>0</v>
      </c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  <c r="AA374" s="9"/>
      <c r="AB374" s="9"/>
    </row>
    <row r="375" ht="15.75" hidden="1" customHeight="1" outlineLevel="1">
      <c r="A375" s="14">
        <v>46352.0</v>
      </c>
      <c r="B375" s="17">
        <v>0.1</v>
      </c>
      <c r="C375" s="18">
        <v>0.1</v>
      </c>
      <c r="D375" s="19">
        <v>0.05</v>
      </c>
      <c r="E375" s="20">
        <v>3.0</v>
      </c>
      <c r="F375" s="21">
        <v>1000.0</v>
      </c>
      <c r="G375" s="22">
        <f t="shared" si="85"/>
        <v>0</v>
      </c>
      <c r="H375" s="23">
        <f t="shared" si="86"/>
        <v>0</v>
      </c>
      <c r="I375" s="24">
        <f t="shared" si="87"/>
        <v>0</v>
      </c>
      <c r="J375" s="25"/>
      <c r="K375" s="26"/>
      <c r="L375" s="27">
        <f t="shared" si="88"/>
        <v>0</v>
      </c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/>
      <c r="AA375" s="9"/>
      <c r="AB375" s="9"/>
    </row>
    <row r="376" ht="15.75" hidden="1" customHeight="1" outlineLevel="1">
      <c r="A376" s="14">
        <v>46353.0</v>
      </c>
      <c r="B376" s="17">
        <v>0.1</v>
      </c>
      <c r="C376" s="18">
        <v>0.1</v>
      </c>
      <c r="D376" s="19">
        <v>0.05</v>
      </c>
      <c r="E376" s="20">
        <v>3.0</v>
      </c>
      <c r="F376" s="21">
        <v>1000.0</v>
      </c>
      <c r="G376" s="22">
        <f t="shared" si="85"/>
        <v>0</v>
      </c>
      <c r="H376" s="23">
        <f t="shared" si="86"/>
        <v>0</v>
      </c>
      <c r="I376" s="24">
        <f t="shared" si="87"/>
        <v>0</v>
      </c>
      <c r="J376" s="25"/>
      <c r="K376" s="26"/>
      <c r="L376" s="27">
        <f t="shared" si="88"/>
        <v>0</v>
      </c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  <c r="AA376" s="9"/>
      <c r="AB376" s="9"/>
    </row>
    <row r="377" ht="15.75" hidden="1" customHeight="1" outlineLevel="1">
      <c r="A377" s="14">
        <v>46354.0</v>
      </c>
      <c r="B377" s="17">
        <v>0.1</v>
      </c>
      <c r="C377" s="18">
        <v>0.1</v>
      </c>
      <c r="D377" s="19">
        <v>0.05</v>
      </c>
      <c r="E377" s="20">
        <v>3.0</v>
      </c>
      <c r="F377" s="21">
        <v>1000.0</v>
      </c>
      <c r="G377" s="22">
        <f t="shared" si="85"/>
        <v>0</v>
      </c>
      <c r="H377" s="23">
        <f t="shared" si="86"/>
        <v>0</v>
      </c>
      <c r="I377" s="24">
        <f t="shared" si="87"/>
        <v>0</v>
      </c>
      <c r="J377" s="25"/>
      <c r="K377" s="26"/>
      <c r="L377" s="27">
        <f t="shared" si="88"/>
        <v>0</v>
      </c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/>
      <c r="AA377" s="9"/>
      <c r="AB377" s="9"/>
    </row>
    <row r="378" ht="15.75" hidden="1" customHeight="1" outlineLevel="1">
      <c r="A378" s="14">
        <v>46355.0</v>
      </c>
      <c r="B378" s="17">
        <v>0.1</v>
      </c>
      <c r="C378" s="18">
        <v>0.1</v>
      </c>
      <c r="D378" s="19">
        <v>0.05</v>
      </c>
      <c r="E378" s="20">
        <v>3.0</v>
      </c>
      <c r="F378" s="21">
        <v>1000.0</v>
      </c>
      <c r="G378" s="22">
        <f t="shared" si="85"/>
        <v>0</v>
      </c>
      <c r="H378" s="23">
        <f t="shared" si="86"/>
        <v>0</v>
      </c>
      <c r="I378" s="24">
        <f t="shared" si="87"/>
        <v>0</v>
      </c>
      <c r="J378" s="25"/>
      <c r="K378" s="26"/>
      <c r="L378" s="27">
        <f t="shared" si="88"/>
        <v>0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  <c r="AA378" s="9"/>
      <c r="AB378" s="9"/>
    </row>
    <row r="379" ht="15.75" hidden="1" customHeight="1" outlineLevel="1">
      <c r="A379" s="14">
        <v>46356.0</v>
      </c>
      <c r="B379" s="17">
        <v>0.1</v>
      </c>
      <c r="C379" s="18">
        <v>0.1</v>
      </c>
      <c r="D379" s="19">
        <v>0.05</v>
      </c>
      <c r="E379" s="20">
        <v>3.0</v>
      </c>
      <c r="F379" s="21">
        <v>1000.0</v>
      </c>
      <c r="G379" s="22">
        <f t="shared" si="85"/>
        <v>0</v>
      </c>
      <c r="H379" s="23">
        <f t="shared" si="86"/>
        <v>0</v>
      </c>
      <c r="I379" s="24">
        <f t="shared" si="87"/>
        <v>0</v>
      </c>
      <c r="J379" s="25"/>
      <c r="K379" s="26"/>
      <c r="L379" s="27">
        <f t="shared" si="88"/>
        <v>0</v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  <c r="AA379" s="9"/>
      <c r="AB379" s="9"/>
    </row>
    <row r="380" ht="15.75" hidden="1" customHeight="1" outlineLevel="1">
      <c r="A380" s="28" t="s">
        <v>18</v>
      </c>
      <c r="C380" s="29">
        <f>SUM(C350:C379)</f>
        <v>3</v>
      </c>
      <c r="D380" s="30"/>
      <c r="E380" s="30"/>
      <c r="F380" s="30"/>
      <c r="G380" s="30"/>
      <c r="H380" s="30"/>
      <c r="I380" s="31">
        <f t="shared" ref="I380:K380" si="89">SUM(I350:I379)</f>
        <v>0</v>
      </c>
      <c r="J380" s="32">
        <f t="shared" si="89"/>
        <v>0</v>
      </c>
      <c r="K380" s="30">
        <f t="shared" si="89"/>
        <v>0</v>
      </c>
      <c r="L380" s="32">
        <f>L379</f>
        <v>0</v>
      </c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/>
      <c r="AA380" s="9"/>
      <c r="AB380" s="9"/>
    </row>
    <row r="381" ht="15.75" customHeight="1">
      <c r="A381" s="38"/>
      <c r="B381" s="35"/>
      <c r="C381" s="35"/>
      <c r="D381" s="35"/>
      <c r="E381" s="35"/>
      <c r="F381" s="35"/>
      <c r="G381" s="35"/>
      <c r="H381" s="35"/>
      <c r="I381" s="35"/>
      <c r="J381" s="35"/>
      <c r="K381" s="37">
        <f>SUM(K350:K379)</f>
        <v>0</v>
      </c>
      <c r="L381" s="35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  <c r="AA381" s="9"/>
      <c r="AB381" s="9"/>
    </row>
    <row r="382" ht="15.75" customHeight="1" collapsed="1">
      <c r="A382" s="1" t="s">
        <v>30</v>
      </c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/>
      <c r="AA382" s="9"/>
      <c r="AB382" s="9"/>
    </row>
    <row r="383" ht="15.75" hidden="1" customHeight="1" outlineLevel="1">
      <c r="A383" s="14" t="s">
        <v>6</v>
      </c>
      <c r="B383" s="1" t="s">
        <v>7</v>
      </c>
      <c r="C383" s="1" t="s">
        <v>8</v>
      </c>
      <c r="D383" s="15" t="s">
        <v>9</v>
      </c>
      <c r="E383" s="15" t="s">
        <v>10</v>
      </c>
      <c r="F383" s="15" t="s">
        <v>11</v>
      </c>
      <c r="G383" s="16" t="s">
        <v>12</v>
      </c>
      <c r="H383" s="15" t="s">
        <v>13</v>
      </c>
      <c r="I383" s="1" t="s">
        <v>14</v>
      </c>
      <c r="J383" s="17" t="s">
        <v>15</v>
      </c>
      <c r="K383" s="1" t="s">
        <v>16</v>
      </c>
      <c r="L383" s="1" t="s">
        <v>17</v>
      </c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  <c r="AA383" s="9"/>
      <c r="AB383" s="9"/>
    </row>
    <row r="384" ht="15.75" hidden="1" customHeight="1" outlineLevel="1">
      <c r="A384" s="14">
        <v>46357.0</v>
      </c>
      <c r="B384" s="17">
        <v>0.1</v>
      </c>
      <c r="C384" s="18">
        <v>0.1</v>
      </c>
      <c r="D384" s="19">
        <v>0.05</v>
      </c>
      <c r="E384" s="20">
        <v>3.0</v>
      </c>
      <c r="F384" s="21">
        <v>1000.0</v>
      </c>
      <c r="G384" s="22">
        <f>L380*C384</f>
        <v>0</v>
      </c>
      <c r="H384" s="23">
        <f>L380*D384</f>
        <v>0</v>
      </c>
      <c r="I384" s="24">
        <f>(J384/L380)*100</f>
        <v>0</v>
      </c>
      <c r="J384" s="25"/>
      <c r="K384" s="26"/>
      <c r="L384" s="27">
        <f>(L380+J384)-K384</f>
        <v>0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  <c r="AA384" s="9"/>
      <c r="AB384" s="9"/>
    </row>
    <row r="385" ht="15.75" hidden="1" customHeight="1" outlineLevel="1">
      <c r="A385" s="14">
        <v>46358.0</v>
      </c>
      <c r="B385" s="17">
        <v>0.1</v>
      </c>
      <c r="C385" s="18">
        <v>0.1</v>
      </c>
      <c r="D385" s="19">
        <v>0.05</v>
      </c>
      <c r="E385" s="20">
        <v>3.0</v>
      </c>
      <c r="F385" s="21">
        <v>1000.0</v>
      </c>
      <c r="G385" s="22">
        <f t="shared" ref="G385:G414" si="90">L384*C385</f>
        <v>0</v>
      </c>
      <c r="H385" s="23">
        <f t="shared" ref="H385:H414" si="91">L384*D385</f>
        <v>0</v>
      </c>
      <c r="I385" s="24">
        <f t="shared" ref="I385:I414" si="92">(J385/L384)*100</f>
        <v>0</v>
      </c>
      <c r="J385" s="25"/>
      <c r="K385" s="26"/>
      <c r="L385" s="27">
        <f t="shared" ref="L385:L414" si="93">(L384+J385)-K385</f>
        <v>0</v>
      </c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9"/>
      <c r="AA385" s="9"/>
      <c r="AB385" s="9"/>
    </row>
    <row r="386" ht="15.75" hidden="1" customHeight="1" outlineLevel="1">
      <c r="A386" s="14">
        <v>46359.0</v>
      </c>
      <c r="B386" s="17">
        <v>0.1</v>
      </c>
      <c r="C386" s="18">
        <v>0.1</v>
      </c>
      <c r="D386" s="19">
        <v>0.05</v>
      </c>
      <c r="E386" s="20">
        <v>3.0</v>
      </c>
      <c r="F386" s="21">
        <v>1000.0</v>
      </c>
      <c r="G386" s="22">
        <f t="shared" si="90"/>
        <v>0</v>
      </c>
      <c r="H386" s="23">
        <f t="shared" si="91"/>
        <v>0</v>
      </c>
      <c r="I386" s="24">
        <f t="shared" si="92"/>
        <v>0</v>
      </c>
      <c r="J386" s="25"/>
      <c r="K386" s="26"/>
      <c r="L386" s="27">
        <f t="shared" si="93"/>
        <v>0</v>
      </c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  <c r="AA386" s="9"/>
      <c r="AB386" s="9"/>
    </row>
    <row r="387" ht="15.75" hidden="1" customHeight="1" outlineLevel="1">
      <c r="A387" s="14">
        <v>46360.0</v>
      </c>
      <c r="B387" s="17">
        <v>0.1</v>
      </c>
      <c r="C387" s="18">
        <v>0.1</v>
      </c>
      <c r="D387" s="19">
        <v>0.05</v>
      </c>
      <c r="E387" s="20">
        <v>3.0</v>
      </c>
      <c r="F387" s="21">
        <v>1000.0</v>
      </c>
      <c r="G387" s="22">
        <f t="shared" si="90"/>
        <v>0</v>
      </c>
      <c r="H387" s="23">
        <f t="shared" si="91"/>
        <v>0</v>
      </c>
      <c r="I387" s="24">
        <f t="shared" si="92"/>
        <v>0</v>
      </c>
      <c r="J387" s="25"/>
      <c r="K387" s="26"/>
      <c r="L387" s="27">
        <f t="shared" si="93"/>
        <v>0</v>
      </c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  <c r="AA387" s="9"/>
      <c r="AB387" s="9"/>
    </row>
    <row r="388" ht="15.75" hidden="1" customHeight="1" outlineLevel="1">
      <c r="A388" s="14">
        <v>46361.0</v>
      </c>
      <c r="B388" s="17">
        <v>0.1</v>
      </c>
      <c r="C388" s="18">
        <v>0.1</v>
      </c>
      <c r="D388" s="19">
        <v>0.05</v>
      </c>
      <c r="E388" s="20">
        <v>3.0</v>
      </c>
      <c r="F388" s="21">
        <v>1000.0</v>
      </c>
      <c r="G388" s="22">
        <f t="shared" si="90"/>
        <v>0</v>
      </c>
      <c r="H388" s="23">
        <f t="shared" si="91"/>
        <v>0</v>
      </c>
      <c r="I388" s="24">
        <f t="shared" si="92"/>
        <v>0</v>
      </c>
      <c r="J388" s="25"/>
      <c r="K388" s="26"/>
      <c r="L388" s="27">
        <f t="shared" si="93"/>
        <v>0</v>
      </c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  <c r="AA388" s="9"/>
      <c r="AB388" s="9"/>
    </row>
    <row r="389" ht="15.75" hidden="1" customHeight="1" outlineLevel="1">
      <c r="A389" s="14">
        <v>46362.0</v>
      </c>
      <c r="B389" s="17">
        <v>0.1</v>
      </c>
      <c r="C389" s="18">
        <v>0.1</v>
      </c>
      <c r="D389" s="19">
        <v>0.05</v>
      </c>
      <c r="E389" s="20">
        <v>3.0</v>
      </c>
      <c r="F389" s="21">
        <v>1000.0</v>
      </c>
      <c r="G389" s="22">
        <f t="shared" si="90"/>
        <v>0</v>
      </c>
      <c r="H389" s="23">
        <f t="shared" si="91"/>
        <v>0</v>
      </c>
      <c r="I389" s="24">
        <f t="shared" si="92"/>
        <v>0</v>
      </c>
      <c r="J389" s="25"/>
      <c r="K389" s="26"/>
      <c r="L389" s="27">
        <f t="shared" si="93"/>
        <v>0</v>
      </c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  <c r="AA389" s="9"/>
      <c r="AB389" s="9"/>
    </row>
    <row r="390" ht="15.75" hidden="1" customHeight="1" outlineLevel="1">
      <c r="A390" s="14">
        <v>46363.0</v>
      </c>
      <c r="B390" s="17">
        <v>0.1</v>
      </c>
      <c r="C390" s="18">
        <v>0.1</v>
      </c>
      <c r="D390" s="19">
        <v>0.05</v>
      </c>
      <c r="E390" s="20">
        <v>3.0</v>
      </c>
      <c r="F390" s="21">
        <v>1000.0</v>
      </c>
      <c r="G390" s="22">
        <f t="shared" si="90"/>
        <v>0</v>
      </c>
      <c r="H390" s="23">
        <f t="shared" si="91"/>
        <v>0</v>
      </c>
      <c r="I390" s="24">
        <f t="shared" si="92"/>
        <v>0</v>
      </c>
      <c r="J390" s="25"/>
      <c r="K390" s="26"/>
      <c r="L390" s="27">
        <f t="shared" si="93"/>
        <v>0</v>
      </c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9"/>
      <c r="AA390" s="9"/>
      <c r="AB390" s="9"/>
    </row>
    <row r="391" ht="15.75" hidden="1" customHeight="1" outlineLevel="1">
      <c r="A391" s="14">
        <v>46364.0</v>
      </c>
      <c r="B391" s="17">
        <v>0.1</v>
      </c>
      <c r="C391" s="18">
        <v>0.1</v>
      </c>
      <c r="D391" s="19">
        <v>0.05</v>
      </c>
      <c r="E391" s="20">
        <v>3.0</v>
      </c>
      <c r="F391" s="21">
        <v>1000.0</v>
      </c>
      <c r="G391" s="22">
        <f t="shared" si="90"/>
        <v>0</v>
      </c>
      <c r="H391" s="23">
        <f t="shared" si="91"/>
        <v>0</v>
      </c>
      <c r="I391" s="24">
        <f t="shared" si="92"/>
        <v>0</v>
      </c>
      <c r="J391" s="25"/>
      <c r="K391" s="26"/>
      <c r="L391" s="27">
        <f t="shared" si="93"/>
        <v>0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  <c r="AA391" s="9"/>
      <c r="AB391" s="9"/>
    </row>
    <row r="392" ht="15.75" hidden="1" customHeight="1" outlineLevel="1">
      <c r="A392" s="14">
        <v>46365.0</v>
      </c>
      <c r="B392" s="17">
        <v>0.1</v>
      </c>
      <c r="C392" s="18">
        <v>0.1</v>
      </c>
      <c r="D392" s="19">
        <v>0.05</v>
      </c>
      <c r="E392" s="20">
        <v>3.0</v>
      </c>
      <c r="F392" s="21">
        <v>1000.0</v>
      </c>
      <c r="G392" s="22">
        <f t="shared" si="90"/>
        <v>0</v>
      </c>
      <c r="H392" s="23">
        <f t="shared" si="91"/>
        <v>0</v>
      </c>
      <c r="I392" s="24">
        <f t="shared" si="92"/>
        <v>0</v>
      </c>
      <c r="J392" s="25"/>
      <c r="K392" s="26"/>
      <c r="L392" s="27">
        <f t="shared" si="93"/>
        <v>0</v>
      </c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/>
      <c r="AA392" s="9"/>
      <c r="AB392" s="9"/>
    </row>
    <row r="393" ht="15.75" hidden="1" customHeight="1" outlineLevel="1">
      <c r="A393" s="14">
        <v>46366.0</v>
      </c>
      <c r="B393" s="17">
        <v>0.1</v>
      </c>
      <c r="C393" s="18">
        <v>0.1</v>
      </c>
      <c r="D393" s="19">
        <v>0.05</v>
      </c>
      <c r="E393" s="20">
        <v>3.0</v>
      </c>
      <c r="F393" s="21">
        <v>1000.0</v>
      </c>
      <c r="G393" s="22">
        <f t="shared" si="90"/>
        <v>0</v>
      </c>
      <c r="H393" s="23">
        <f t="shared" si="91"/>
        <v>0</v>
      </c>
      <c r="I393" s="24">
        <f t="shared" si="92"/>
        <v>0</v>
      </c>
      <c r="J393" s="25"/>
      <c r="K393" s="26"/>
      <c r="L393" s="27">
        <f t="shared" si="93"/>
        <v>0</v>
      </c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  <c r="AA393" s="9"/>
      <c r="AB393" s="9"/>
    </row>
    <row r="394" ht="15.75" hidden="1" customHeight="1" outlineLevel="1">
      <c r="A394" s="14">
        <v>46367.0</v>
      </c>
      <c r="B394" s="17">
        <v>0.1</v>
      </c>
      <c r="C394" s="18">
        <v>0.1</v>
      </c>
      <c r="D394" s="19">
        <v>0.05</v>
      </c>
      <c r="E394" s="20">
        <v>3.0</v>
      </c>
      <c r="F394" s="21">
        <v>1000.0</v>
      </c>
      <c r="G394" s="22">
        <f t="shared" si="90"/>
        <v>0</v>
      </c>
      <c r="H394" s="23">
        <f t="shared" si="91"/>
        <v>0</v>
      </c>
      <c r="I394" s="24">
        <f t="shared" si="92"/>
        <v>0</v>
      </c>
      <c r="J394" s="25"/>
      <c r="K394" s="26"/>
      <c r="L394" s="27">
        <f t="shared" si="93"/>
        <v>0</v>
      </c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  <c r="AA394" s="9"/>
      <c r="AB394" s="9"/>
    </row>
    <row r="395" ht="15.75" hidden="1" customHeight="1" outlineLevel="1">
      <c r="A395" s="14">
        <v>46368.0</v>
      </c>
      <c r="B395" s="17">
        <v>0.1</v>
      </c>
      <c r="C395" s="18">
        <v>0.1</v>
      </c>
      <c r="D395" s="19">
        <v>0.05</v>
      </c>
      <c r="E395" s="20">
        <v>3.0</v>
      </c>
      <c r="F395" s="21">
        <v>1000.0</v>
      </c>
      <c r="G395" s="22">
        <f t="shared" si="90"/>
        <v>0</v>
      </c>
      <c r="H395" s="23">
        <f t="shared" si="91"/>
        <v>0</v>
      </c>
      <c r="I395" s="24">
        <f t="shared" si="92"/>
        <v>0</v>
      </c>
      <c r="J395" s="25"/>
      <c r="K395" s="26"/>
      <c r="L395" s="27">
        <f t="shared" si="93"/>
        <v>0</v>
      </c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9"/>
      <c r="AA395" s="9"/>
      <c r="AB395" s="9"/>
    </row>
    <row r="396" ht="15.75" hidden="1" customHeight="1" outlineLevel="1">
      <c r="A396" s="14">
        <v>46369.0</v>
      </c>
      <c r="B396" s="17">
        <v>0.1</v>
      </c>
      <c r="C396" s="18">
        <v>0.1</v>
      </c>
      <c r="D396" s="19">
        <v>0.05</v>
      </c>
      <c r="E396" s="20">
        <v>3.0</v>
      </c>
      <c r="F396" s="21">
        <v>1000.0</v>
      </c>
      <c r="G396" s="22">
        <f t="shared" si="90"/>
        <v>0</v>
      </c>
      <c r="H396" s="23">
        <f t="shared" si="91"/>
        <v>0</v>
      </c>
      <c r="I396" s="24">
        <f t="shared" si="92"/>
        <v>0</v>
      </c>
      <c r="J396" s="25"/>
      <c r="K396" s="26"/>
      <c r="L396" s="27">
        <f t="shared" si="93"/>
        <v>0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  <c r="AA396" s="9"/>
      <c r="AB396" s="9"/>
    </row>
    <row r="397" ht="15.75" hidden="1" customHeight="1" outlineLevel="1">
      <c r="A397" s="14">
        <v>46370.0</v>
      </c>
      <c r="B397" s="17">
        <v>0.1</v>
      </c>
      <c r="C397" s="18">
        <v>0.1</v>
      </c>
      <c r="D397" s="19">
        <v>0.05</v>
      </c>
      <c r="E397" s="20">
        <v>3.0</v>
      </c>
      <c r="F397" s="21">
        <v>1000.0</v>
      </c>
      <c r="G397" s="22">
        <f t="shared" si="90"/>
        <v>0</v>
      </c>
      <c r="H397" s="23">
        <f t="shared" si="91"/>
        <v>0</v>
      </c>
      <c r="I397" s="24">
        <f t="shared" si="92"/>
        <v>0</v>
      </c>
      <c r="J397" s="25"/>
      <c r="K397" s="26"/>
      <c r="L397" s="27">
        <f t="shared" si="93"/>
        <v>0</v>
      </c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9"/>
      <c r="AA397" s="9"/>
      <c r="AB397" s="9"/>
    </row>
    <row r="398" ht="15.75" hidden="1" customHeight="1" outlineLevel="1">
      <c r="A398" s="14">
        <v>46371.0</v>
      </c>
      <c r="B398" s="17">
        <v>0.1</v>
      </c>
      <c r="C398" s="18">
        <v>0.1</v>
      </c>
      <c r="D398" s="19">
        <v>0.05</v>
      </c>
      <c r="E398" s="20">
        <v>3.0</v>
      </c>
      <c r="F398" s="21">
        <v>1000.0</v>
      </c>
      <c r="G398" s="22">
        <f t="shared" si="90"/>
        <v>0</v>
      </c>
      <c r="H398" s="23">
        <f t="shared" si="91"/>
        <v>0</v>
      </c>
      <c r="I398" s="24">
        <f t="shared" si="92"/>
        <v>0</v>
      </c>
      <c r="J398" s="25"/>
      <c r="K398" s="26"/>
      <c r="L398" s="27">
        <f t="shared" si="93"/>
        <v>0</v>
      </c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  <c r="AA398" s="9"/>
      <c r="AB398" s="9"/>
    </row>
    <row r="399" ht="15.75" hidden="1" customHeight="1" outlineLevel="1">
      <c r="A399" s="14">
        <v>46372.0</v>
      </c>
      <c r="B399" s="17">
        <v>0.1</v>
      </c>
      <c r="C399" s="18">
        <v>0.1</v>
      </c>
      <c r="D399" s="19">
        <v>0.05</v>
      </c>
      <c r="E399" s="20">
        <v>3.0</v>
      </c>
      <c r="F399" s="21">
        <v>1000.0</v>
      </c>
      <c r="G399" s="22">
        <f t="shared" si="90"/>
        <v>0</v>
      </c>
      <c r="H399" s="23">
        <f t="shared" si="91"/>
        <v>0</v>
      </c>
      <c r="I399" s="24">
        <f t="shared" si="92"/>
        <v>0</v>
      </c>
      <c r="J399" s="25"/>
      <c r="K399" s="26"/>
      <c r="L399" s="27">
        <f t="shared" si="93"/>
        <v>0</v>
      </c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  <c r="AA399" s="9"/>
      <c r="AB399" s="9"/>
    </row>
    <row r="400" ht="15.75" hidden="1" customHeight="1" outlineLevel="1">
      <c r="A400" s="14">
        <v>46373.0</v>
      </c>
      <c r="B400" s="17">
        <v>0.1</v>
      </c>
      <c r="C400" s="18">
        <v>0.1</v>
      </c>
      <c r="D400" s="19">
        <v>0.05</v>
      </c>
      <c r="E400" s="20">
        <v>3.0</v>
      </c>
      <c r="F400" s="21">
        <v>1000.0</v>
      </c>
      <c r="G400" s="22">
        <f t="shared" si="90"/>
        <v>0</v>
      </c>
      <c r="H400" s="23">
        <f t="shared" si="91"/>
        <v>0</v>
      </c>
      <c r="I400" s="24">
        <f t="shared" si="92"/>
        <v>0</v>
      </c>
      <c r="J400" s="25"/>
      <c r="K400" s="26"/>
      <c r="L400" s="27">
        <f t="shared" si="93"/>
        <v>0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9"/>
      <c r="AA400" s="9"/>
      <c r="AB400" s="9"/>
    </row>
    <row r="401" ht="15.75" hidden="1" customHeight="1" outlineLevel="1">
      <c r="A401" s="14">
        <v>46374.0</v>
      </c>
      <c r="B401" s="17">
        <v>0.1</v>
      </c>
      <c r="C401" s="18">
        <v>0.1</v>
      </c>
      <c r="D401" s="19">
        <v>0.05</v>
      </c>
      <c r="E401" s="20">
        <v>3.0</v>
      </c>
      <c r="F401" s="21">
        <v>1000.0</v>
      </c>
      <c r="G401" s="22">
        <f t="shared" si="90"/>
        <v>0</v>
      </c>
      <c r="H401" s="23">
        <f t="shared" si="91"/>
        <v>0</v>
      </c>
      <c r="I401" s="24">
        <f t="shared" si="92"/>
        <v>0</v>
      </c>
      <c r="J401" s="25"/>
      <c r="K401" s="26"/>
      <c r="L401" s="27">
        <f t="shared" si="93"/>
        <v>0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  <c r="AA401" s="9"/>
      <c r="AB401" s="9"/>
    </row>
    <row r="402" ht="15.75" hidden="1" customHeight="1" outlineLevel="1">
      <c r="A402" s="14">
        <v>46375.0</v>
      </c>
      <c r="B402" s="17">
        <v>0.1</v>
      </c>
      <c r="C402" s="18">
        <v>0.1</v>
      </c>
      <c r="D402" s="19">
        <v>0.05</v>
      </c>
      <c r="E402" s="20">
        <v>3.0</v>
      </c>
      <c r="F402" s="21">
        <v>1000.0</v>
      </c>
      <c r="G402" s="22">
        <f t="shared" si="90"/>
        <v>0</v>
      </c>
      <c r="H402" s="23">
        <f t="shared" si="91"/>
        <v>0</v>
      </c>
      <c r="I402" s="24">
        <f t="shared" si="92"/>
        <v>0</v>
      </c>
      <c r="J402" s="25"/>
      <c r="K402" s="26"/>
      <c r="L402" s="27">
        <f t="shared" si="93"/>
        <v>0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/>
      <c r="AA402" s="9"/>
      <c r="AB402" s="9"/>
    </row>
    <row r="403" ht="15.75" hidden="1" customHeight="1" outlineLevel="1">
      <c r="A403" s="14">
        <v>46376.0</v>
      </c>
      <c r="B403" s="17">
        <v>0.1</v>
      </c>
      <c r="C403" s="18">
        <v>0.1</v>
      </c>
      <c r="D403" s="19">
        <v>0.05</v>
      </c>
      <c r="E403" s="20">
        <v>3.0</v>
      </c>
      <c r="F403" s="21">
        <v>1000.0</v>
      </c>
      <c r="G403" s="22">
        <f t="shared" si="90"/>
        <v>0</v>
      </c>
      <c r="H403" s="23">
        <f t="shared" si="91"/>
        <v>0</v>
      </c>
      <c r="I403" s="24">
        <f t="shared" si="92"/>
        <v>0</v>
      </c>
      <c r="J403" s="25"/>
      <c r="K403" s="26"/>
      <c r="L403" s="27">
        <f t="shared" si="93"/>
        <v>0</v>
      </c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/>
      <c r="AA403" s="9"/>
      <c r="AB403" s="9"/>
    </row>
    <row r="404" ht="15.75" hidden="1" customHeight="1" outlineLevel="1">
      <c r="A404" s="14">
        <v>46377.0</v>
      </c>
      <c r="B404" s="17">
        <v>0.1</v>
      </c>
      <c r="C404" s="18">
        <v>0.1</v>
      </c>
      <c r="D404" s="19">
        <v>0.05</v>
      </c>
      <c r="E404" s="20">
        <v>3.0</v>
      </c>
      <c r="F404" s="21">
        <v>1000.0</v>
      </c>
      <c r="G404" s="22">
        <f t="shared" si="90"/>
        <v>0</v>
      </c>
      <c r="H404" s="23">
        <f t="shared" si="91"/>
        <v>0</v>
      </c>
      <c r="I404" s="24">
        <f t="shared" si="92"/>
        <v>0</v>
      </c>
      <c r="J404" s="25"/>
      <c r="K404" s="26"/>
      <c r="L404" s="27">
        <f t="shared" si="93"/>
        <v>0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/>
      <c r="AA404" s="9"/>
      <c r="AB404" s="9"/>
    </row>
    <row r="405" ht="15.75" hidden="1" customHeight="1" outlineLevel="1">
      <c r="A405" s="14">
        <v>46378.0</v>
      </c>
      <c r="B405" s="17">
        <v>0.1</v>
      </c>
      <c r="C405" s="18">
        <v>0.1</v>
      </c>
      <c r="D405" s="19">
        <v>0.05</v>
      </c>
      <c r="E405" s="20">
        <v>3.0</v>
      </c>
      <c r="F405" s="21">
        <v>1000.0</v>
      </c>
      <c r="G405" s="22">
        <f t="shared" si="90"/>
        <v>0</v>
      </c>
      <c r="H405" s="23">
        <f t="shared" si="91"/>
        <v>0</v>
      </c>
      <c r="I405" s="24">
        <f t="shared" si="92"/>
        <v>0</v>
      </c>
      <c r="J405" s="25"/>
      <c r="K405" s="26"/>
      <c r="L405" s="27">
        <f t="shared" si="93"/>
        <v>0</v>
      </c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9"/>
      <c r="AA405" s="9"/>
      <c r="AB405" s="9"/>
    </row>
    <row r="406" ht="15.75" hidden="1" customHeight="1" outlineLevel="1">
      <c r="A406" s="14">
        <v>46379.0</v>
      </c>
      <c r="B406" s="17">
        <v>0.1</v>
      </c>
      <c r="C406" s="18">
        <v>0.1</v>
      </c>
      <c r="D406" s="19">
        <v>0.05</v>
      </c>
      <c r="E406" s="20">
        <v>3.0</v>
      </c>
      <c r="F406" s="21">
        <v>1000.0</v>
      </c>
      <c r="G406" s="22">
        <f t="shared" si="90"/>
        <v>0</v>
      </c>
      <c r="H406" s="23">
        <f t="shared" si="91"/>
        <v>0</v>
      </c>
      <c r="I406" s="24">
        <f t="shared" si="92"/>
        <v>0</v>
      </c>
      <c r="J406" s="25"/>
      <c r="K406" s="26"/>
      <c r="L406" s="27">
        <f t="shared" si="93"/>
        <v>0</v>
      </c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/>
      <c r="AA406" s="9"/>
      <c r="AB406" s="9"/>
    </row>
    <row r="407" ht="15.75" hidden="1" customHeight="1" outlineLevel="1">
      <c r="A407" s="14">
        <v>46380.0</v>
      </c>
      <c r="B407" s="17">
        <v>0.1</v>
      </c>
      <c r="C407" s="18">
        <v>0.1</v>
      </c>
      <c r="D407" s="19">
        <v>0.05</v>
      </c>
      <c r="E407" s="20">
        <v>3.0</v>
      </c>
      <c r="F407" s="21">
        <v>1000.0</v>
      </c>
      <c r="G407" s="22">
        <f t="shared" si="90"/>
        <v>0</v>
      </c>
      <c r="H407" s="23">
        <f t="shared" si="91"/>
        <v>0</v>
      </c>
      <c r="I407" s="24">
        <f t="shared" si="92"/>
        <v>0</v>
      </c>
      <c r="J407" s="25"/>
      <c r="K407" s="26"/>
      <c r="L407" s="27">
        <f t="shared" si="93"/>
        <v>0</v>
      </c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/>
      <c r="AA407" s="9"/>
      <c r="AB407" s="9"/>
    </row>
    <row r="408" ht="15.75" hidden="1" customHeight="1" outlineLevel="1">
      <c r="A408" s="14">
        <v>46381.0</v>
      </c>
      <c r="B408" s="17">
        <v>0.1</v>
      </c>
      <c r="C408" s="18">
        <v>0.1</v>
      </c>
      <c r="D408" s="19">
        <v>0.05</v>
      </c>
      <c r="E408" s="20">
        <v>3.0</v>
      </c>
      <c r="F408" s="21">
        <v>1000.0</v>
      </c>
      <c r="G408" s="22">
        <f t="shared" si="90"/>
        <v>0</v>
      </c>
      <c r="H408" s="23">
        <f t="shared" si="91"/>
        <v>0</v>
      </c>
      <c r="I408" s="24">
        <f t="shared" si="92"/>
        <v>0</v>
      </c>
      <c r="J408" s="25"/>
      <c r="K408" s="26"/>
      <c r="L408" s="27">
        <f t="shared" si="93"/>
        <v>0</v>
      </c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  <c r="AA408" s="9"/>
      <c r="AB408" s="9"/>
    </row>
    <row r="409" ht="15.75" hidden="1" customHeight="1" outlineLevel="1">
      <c r="A409" s="14">
        <v>46382.0</v>
      </c>
      <c r="B409" s="17">
        <v>0.1</v>
      </c>
      <c r="C409" s="18">
        <v>0.1</v>
      </c>
      <c r="D409" s="19">
        <v>0.05</v>
      </c>
      <c r="E409" s="20">
        <v>3.0</v>
      </c>
      <c r="F409" s="21">
        <v>1000.0</v>
      </c>
      <c r="G409" s="22">
        <f t="shared" si="90"/>
        <v>0</v>
      </c>
      <c r="H409" s="23">
        <f t="shared" si="91"/>
        <v>0</v>
      </c>
      <c r="I409" s="24">
        <f t="shared" si="92"/>
        <v>0</v>
      </c>
      <c r="J409" s="25"/>
      <c r="K409" s="26"/>
      <c r="L409" s="27">
        <f t="shared" si="93"/>
        <v>0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9"/>
      <c r="AA409" s="9"/>
      <c r="AB409" s="9"/>
    </row>
    <row r="410" ht="15.75" hidden="1" customHeight="1" outlineLevel="1">
      <c r="A410" s="14">
        <v>46383.0</v>
      </c>
      <c r="B410" s="17">
        <v>0.1</v>
      </c>
      <c r="C410" s="18">
        <v>0.1</v>
      </c>
      <c r="D410" s="19">
        <v>0.05</v>
      </c>
      <c r="E410" s="20">
        <v>3.0</v>
      </c>
      <c r="F410" s="21">
        <v>1000.0</v>
      </c>
      <c r="G410" s="22">
        <f t="shared" si="90"/>
        <v>0</v>
      </c>
      <c r="H410" s="23">
        <f t="shared" si="91"/>
        <v>0</v>
      </c>
      <c r="I410" s="24">
        <f t="shared" si="92"/>
        <v>0</v>
      </c>
      <c r="J410" s="25"/>
      <c r="K410" s="26"/>
      <c r="L410" s="27">
        <f t="shared" si="93"/>
        <v>0</v>
      </c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9"/>
      <c r="AA410" s="9"/>
      <c r="AB410" s="9"/>
    </row>
    <row r="411" ht="15.75" hidden="1" customHeight="1" outlineLevel="1">
      <c r="A411" s="14">
        <v>46384.0</v>
      </c>
      <c r="B411" s="17">
        <v>0.1</v>
      </c>
      <c r="C411" s="18">
        <v>0.1</v>
      </c>
      <c r="D411" s="19">
        <v>0.05</v>
      </c>
      <c r="E411" s="20">
        <v>3.0</v>
      </c>
      <c r="F411" s="21">
        <v>1000.0</v>
      </c>
      <c r="G411" s="22">
        <f t="shared" si="90"/>
        <v>0</v>
      </c>
      <c r="H411" s="23">
        <f t="shared" si="91"/>
        <v>0</v>
      </c>
      <c r="I411" s="24">
        <f t="shared" si="92"/>
        <v>0</v>
      </c>
      <c r="J411" s="25"/>
      <c r="K411" s="26"/>
      <c r="L411" s="27">
        <f t="shared" si="93"/>
        <v>0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/>
      <c r="AA411" s="9"/>
      <c r="AB411" s="9"/>
    </row>
    <row r="412" ht="15.75" hidden="1" customHeight="1" outlineLevel="1">
      <c r="A412" s="14">
        <v>46385.0</v>
      </c>
      <c r="B412" s="17">
        <v>0.1</v>
      </c>
      <c r="C412" s="18">
        <v>0.1</v>
      </c>
      <c r="D412" s="19">
        <v>0.05</v>
      </c>
      <c r="E412" s="20">
        <v>3.0</v>
      </c>
      <c r="F412" s="21">
        <v>1000.0</v>
      </c>
      <c r="G412" s="22">
        <f t="shared" si="90"/>
        <v>0</v>
      </c>
      <c r="H412" s="23">
        <f t="shared" si="91"/>
        <v>0</v>
      </c>
      <c r="I412" s="24">
        <f t="shared" si="92"/>
        <v>0</v>
      </c>
      <c r="J412" s="25"/>
      <c r="K412" s="26"/>
      <c r="L412" s="27">
        <f t="shared" si="93"/>
        <v>0</v>
      </c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9"/>
      <c r="AA412" s="9"/>
      <c r="AB412" s="9"/>
    </row>
    <row r="413" ht="15.75" hidden="1" customHeight="1" outlineLevel="1">
      <c r="A413" s="14">
        <v>46386.0</v>
      </c>
      <c r="B413" s="17">
        <v>0.1</v>
      </c>
      <c r="C413" s="18">
        <v>0.1</v>
      </c>
      <c r="D413" s="19">
        <v>0.05</v>
      </c>
      <c r="E413" s="20">
        <v>3.0</v>
      </c>
      <c r="F413" s="21">
        <v>1000.0</v>
      </c>
      <c r="G413" s="22">
        <f t="shared" si="90"/>
        <v>0</v>
      </c>
      <c r="H413" s="23">
        <f t="shared" si="91"/>
        <v>0</v>
      </c>
      <c r="I413" s="24">
        <f t="shared" si="92"/>
        <v>0</v>
      </c>
      <c r="J413" s="25"/>
      <c r="K413" s="26"/>
      <c r="L413" s="27">
        <f t="shared" si="93"/>
        <v>0</v>
      </c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/>
      <c r="AA413" s="9"/>
      <c r="AB413" s="9"/>
    </row>
    <row r="414" ht="15.75" hidden="1" customHeight="1" outlineLevel="1">
      <c r="A414" s="14">
        <v>46387.0</v>
      </c>
      <c r="B414" s="17">
        <v>0.1</v>
      </c>
      <c r="C414" s="18">
        <v>0.1</v>
      </c>
      <c r="D414" s="19">
        <v>0.05</v>
      </c>
      <c r="E414" s="20">
        <v>3.0</v>
      </c>
      <c r="F414" s="21">
        <v>1000.0</v>
      </c>
      <c r="G414" s="22">
        <f t="shared" si="90"/>
        <v>0</v>
      </c>
      <c r="H414" s="23">
        <f t="shared" si="91"/>
        <v>0</v>
      </c>
      <c r="I414" s="24">
        <f t="shared" si="92"/>
        <v>0</v>
      </c>
      <c r="J414" s="25"/>
      <c r="K414" s="26"/>
      <c r="L414" s="27">
        <f t="shared" si="93"/>
        <v>0</v>
      </c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/>
      <c r="AA414" s="9"/>
      <c r="AB414" s="9"/>
    </row>
    <row r="415" ht="15.75" hidden="1" customHeight="1" outlineLevel="1">
      <c r="A415" s="28" t="s">
        <v>18</v>
      </c>
      <c r="C415" s="29">
        <f>SUM(C384:C414)</f>
        <v>3.1</v>
      </c>
      <c r="D415" s="30"/>
      <c r="E415" s="30"/>
      <c r="F415" s="30"/>
      <c r="G415" s="30"/>
      <c r="H415" s="30"/>
      <c r="I415" s="31">
        <f t="shared" ref="I415:K415" si="94">SUM(I384:I414)</f>
        <v>0</v>
      </c>
      <c r="J415" s="32">
        <f t="shared" si="94"/>
        <v>0</v>
      </c>
      <c r="K415" s="30">
        <f t="shared" si="94"/>
        <v>0</v>
      </c>
      <c r="L415" s="32">
        <f>L414</f>
        <v>0</v>
      </c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9"/>
      <c r="AA415" s="9"/>
      <c r="AB415" s="9"/>
    </row>
    <row r="416" ht="15.75" customHeight="1">
      <c r="A416" s="38"/>
      <c r="B416" s="35"/>
      <c r="C416" s="35"/>
      <c r="D416" s="35"/>
      <c r="E416" s="35"/>
      <c r="F416" s="35"/>
      <c r="G416" s="35"/>
      <c r="H416" s="35"/>
      <c r="I416" s="35"/>
      <c r="J416" s="35"/>
      <c r="K416" s="37">
        <f>SUM(K384:K414)</f>
        <v>0</v>
      </c>
      <c r="L416" s="35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/>
      <c r="AA416" s="9"/>
      <c r="AB416" s="9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9"/>
      <c r="AA417" s="9"/>
      <c r="AB417" s="9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  <c r="AA418" s="9"/>
      <c r="AB418" s="9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  <c r="AA419" s="9"/>
      <c r="AB419" s="9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9"/>
      <c r="AA420" s="9"/>
      <c r="AB420" s="9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  <c r="AA421" s="9"/>
      <c r="AB421" s="9"/>
    </row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3:L3"/>
    <mergeCell ref="A4:L4"/>
    <mergeCell ref="B1:C1"/>
    <mergeCell ref="D1:D2"/>
    <mergeCell ref="E1:E2"/>
    <mergeCell ref="F1:G2"/>
    <mergeCell ref="H1:H2"/>
    <mergeCell ref="I1:I2"/>
    <mergeCell ref="B2:C2"/>
    <mergeCell ref="A37:B37"/>
    <mergeCell ref="A39:L39"/>
    <mergeCell ref="A69:B69"/>
    <mergeCell ref="A71:L71"/>
    <mergeCell ref="A104:B104"/>
    <mergeCell ref="A106:L106"/>
    <mergeCell ref="A140:L140"/>
    <mergeCell ref="A138:B138"/>
    <mergeCell ref="A173:B173"/>
    <mergeCell ref="A175:L175"/>
    <mergeCell ref="A207:B207"/>
    <mergeCell ref="A209:L209"/>
    <mergeCell ref="A242:B242"/>
    <mergeCell ref="A244:L244"/>
    <mergeCell ref="A380:B380"/>
    <mergeCell ref="A415:B415"/>
    <mergeCell ref="A277:B277"/>
    <mergeCell ref="A279:L279"/>
    <mergeCell ref="A311:B311"/>
    <mergeCell ref="A313:L313"/>
    <mergeCell ref="A346:B346"/>
    <mergeCell ref="A348:L348"/>
    <mergeCell ref="A382:L382"/>
  </mergeCells>
  <conditionalFormatting sqref="C6:I36 C41:I68 C73:I103 C108:I137 C142:I172 C177:I206 C211:I241 C246:I276 C281:I310 C315:I345 C350:I379 C384:I414">
    <cfRule type="expression" dxfId="0" priority="1">
      <formula>$I6=0</formula>
    </cfRule>
  </conditionalFormatting>
  <conditionalFormatting sqref="C6:I36 C41:I68 C73:I103 C108:I137 C142:I172 C177:I206 C211:I241 C246:I276 C281:I310 C315:I345 C350:I379 C384:I414">
    <cfRule type="expression" dxfId="1" priority="2">
      <formula>$I6&gt;10</formula>
    </cfRule>
  </conditionalFormatting>
  <conditionalFormatting sqref="C6:I36 C41:I68 C73:I103 C108:I137 C142:I172 C177:I206 C211:I241 C246:I276 C281:I310 C315:I345 C350:I379 C384:I414">
    <cfRule type="expression" dxfId="2" priority="3">
      <formula>$I6=10</formula>
    </cfRule>
  </conditionalFormatting>
  <conditionalFormatting sqref="C6:I36 C41:I68 C73:I103 C108:I137 C142:I172 C177:I206 C211:I241 C246:I276 C281:I310 C315:I345 C350:I379 C384:I414">
    <cfRule type="expression" dxfId="3" priority="4">
      <formula>$I6&gt;=0</formula>
    </cfRule>
  </conditionalFormatting>
  <conditionalFormatting sqref="C6:I36 C41:I68 C73:I103 C108:I137 C142:I172 C177:I206 C211:I241 C246:I276 C281:I310 C315:I345 C350:I379 C384:I414">
    <cfRule type="expression" dxfId="4" priority="5">
      <formula>$I6&lt;-5</formula>
    </cfRule>
  </conditionalFormatting>
  <conditionalFormatting sqref="C6:I36 C41:I68 C73:I103 C108:I137 C142:I172 C177:I206 C211:I241 C246:I276 C281:I310 C315:I345 C350:I379 C384:I414">
    <cfRule type="expression" dxfId="5" priority="6">
      <formula>$I6=-5</formula>
    </cfRule>
  </conditionalFormatting>
  <conditionalFormatting sqref="C6:I36 C41:I68 C73:I103 C108:I137 C142:I172 C177:I206 C211:I241 C246:I276 C281:I310 C315:I345 C350:I379 C384:I414">
    <cfRule type="expression" dxfId="6" priority="7">
      <formula>$I6&gt;=-1</formula>
    </cfRule>
  </conditionalFormatting>
  <conditionalFormatting sqref="J6">
    <cfRule type="notContainsBlanks" dxfId="7" priority="8">
      <formula>LEN(TRIM(J6))&gt;0</formula>
    </cfRule>
  </conditionalFormatting>
  <conditionalFormatting sqref="C6:I36 C41:I68 C73:I103 C108:I137 C142:I172 C177:I206 C211:I241 C246:I276 C281:I310 C315:I345 C350:I379 C384:I414">
    <cfRule type="expression" dxfId="6" priority="9">
      <formula>$I6&lt;-1</formula>
    </cfRule>
  </conditionalFormatting>
  <conditionalFormatting sqref="C6:I36 C41:I68 C73:I103 C108:I137 C142:I172 C177:I206 C211:I241 C246:I276 C281:I310 C315:I345 C350:I379 C384:I414">
    <cfRule type="expression" dxfId="6" priority="10">
      <formula>$I6&lt;-1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 outlineLevelRow="1"/>
  <cols>
    <col customWidth="1" min="1" max="1" width="14.44"/>
    <col customWidth="1" min="2" max="2" width="12.33"/>
    <col customWidth="1" min="3" max="6" width="14.33"/>
    <col customWidth="1" min="7" max="7" width="11.67"/>
    <col customWidth="1" min="8" max="8" width="10.78"/>
    <col customWidth="1" min="9" max="9" width="21.56"/>
    <col customWidth="1" min="10" max="10" width="14.0"/>
    <col customWidth="1" min="11" max="11" width="14.89"/>
    <col customWidth="1" min="12" max="12" width="16.0"/>
  </cols>
  <sheetData>
    <row r="1" ht="15.75" customHeight="1">
      <c r="A1" s="1" t="s">
        <v>0</v>
      </c>
      <c r="B1" s="2">
        <v>50.0</v>
      </c>
      <c r="D1" s="1" t="s">
        <v>1</v>
      </c>
      <c r="E1" s="3">
        <f>(F1/B1)*100</f>
        <v>0</v>
      </c>
      <c r="F1" s="39">
        <f>L415-B1</f>
        <v>0</v>
      </c>
      <c r="G1" s="5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9"/>
      <c r="AA1" s="9"/>
      <c r="AB1" s="9"/>
    </row>
    <row r="2" ht="15.75" customHeight="1">
      <c r="A2" s="1" t="s">
        <v>3</v>
      </c>
      <c r="B2" s="10">
        <v>500.0</v>
      </c>
      <c r="G2" s="5"/>
      <c r="H2" s="12"/>
      <c r="I2" s="12"/>
      <c r="J2" s="12"/>
      <c r="K2" s="12"/>
      <c r="L2" s="12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  <c r="AA2" s="9"/>
      <c r="AB2" s="9"/>
    </row>
    <row r="3" ht="15.75" customHeight="1">
      <c r="A3" s="1" t="s">
        <v>31</v>
      </c>
      <c r="M3" s="13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9"/>
      <c r="AB3" s="9"/>
    </row>
    <row r="4" ht="15.75" customHeight="1" collapsed="1">
      <c r="A4" s="1" t="s">
        <v>5</v>
      </c>
      <c r="M4" s="13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9"/>
      <c r="AB4" s="9"/>
    </row>
    <row r="5" ht="15.75" hidden="1" customHeight="1" outlineLevel="1">
      <c r="A5" s="14" t="s">
        <v>6</v>
      </c>
      <c r="B5" s="1" t="s">
        <v>7</v>
      </c>
      <c r="C5" s="1" t="s">
        <v>8</v>
      </c>
      <c r="D5" s="15" t="s">
        <v>9</v>
      </c>
      <c r="E5" s="15" t="s">
        <v>10</v>
      </c>
      <c r="F5" s="15" t="s">
        <v>11</v>
      </c>
      <c r="G5" s="16" t="s">
        <v>12</v>
      </c>
      <c r="H5" s="15" t="s">
        <v>13</v>
      </c>
      <c r="I5" s="1" t="s">
        <v>14</v>
      </c>
      <c r="J5" s="17" t="s">
        <v>15</v>
      </c>
      <c r="K5" s="1" t="s">
        <v>16</v>
      </c>
      <c r="L5" s="1" t="s">
        <v>17</v>
      </c>
      <c r="M5" s="13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  <c r="AA5" s="9"/>
      <c r="AB5" s="9"/>
    </row>
    <row r="6" ht="15.75" hidden="1" customHeight="1" outlineLevel="1">
      <c r="A6" s="14">
        <v>46388.0</v>
      </c>
      <c r="B6" s="17">
        <v>0.1</v>
      </c>
      <c r="C6" s="18">
        <v>0.1</v>
      </c>
      <c r="D6" s="19">
        <v>0.05</v>
      </c>
      <c r="E6" s="20">
        <v>3.0</v>
      </c>
      <c r="F6" s="21">
        <v>1000.0</v>
      </c>
      <c r="G6" s="22">
        <f>B1*C6</f>
        <v>5</v>
      </c>
      <c r="H6" s="23">
        <f>B1*D6</f>
        <v>2.5</v>
      </c>
      <c r="I6" s="24">
        <f>(J6/B1)*100</f>
        <v>0</v>
      </c>
      <c r="J6" s="25"/>
      <c r="K6" s="26"/>
      <c r="L6" s="27">
        <f>(B1+J6)-K6</f>
        <v>50</v>
      </c>
      <c r="M6" s="13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  <c r="AA6" s="9"/>
      <c r="AB6" s="9"/>
    </row>
    <row r="7" ht="15.75" hidden="1" customHeight="1" outlineLevel="1">
      <c r="A7" s="14"/>
      <c r="B7" s="17"/>
      <c r="C7" s="18"/>
      <c r="D7" s="19"/>
      <c r="E7" s="20"/>
      <c r="F7" s="21"/>
      <c r="G7" s="22"/>
      <c r="H7" s="23"/>
      <c r="I7" s="24"/>
      <c r="J7" s="25"/>
      <c r="K7" s="26"/>
      <c r="L7" s="27">
        <f t="shared" ref="L7:L36" si="1">(L6+J7)-K7</f>
        <v>50</v>
      </c>
      <c r="M7" s="13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  <c r="AA7" s="9"/>
      <c r="AB7" s="9"/>
    </row>
    <row r="8" ht="15.75" hidden="1" customHeight="1" outlineLevel="1">
      <c r="A8" s="14"/>
      <c r="B8" s="17"/>
      <c r="C8" s="18"/>
      <c r="D8" s="19"/>
      <c r="E8" s="20"/>
      <c r="F8" s="21"/>
      <c r="G8" s="22"/>
      <c r="H8" s="23"/>
      <c r="I8" s="24"/>
      <c r="J8" s="25"/>
      <c r="K8" s="26"/>
      <c r="L8" s="27">
        <f t="shared" si="1"/>
        <v>50</v>
      </c>
      <c r="M8" s="13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  <c r="AA8" s="9"/>
      <c r="AB8" s="9"/>
    </row>
    <row r="9" ht="15.75" hidden="1" customHeight="1" outlineLevel="1">
      <c r="A9" s="14">
        <v>46391.0</v>
      </c>
      <c r="B9" s="17">
        <v>0.1</v>
      </c>
      <c r="C9" s="18">
        <v>0.1</v>
      </c>
      <c r="D9" s="19">
        <v>0.05</v>
      </c>
      <c r="E9" s="20">
        <v>3.0</v>
      </c>
      <c r="F9" s="21">
        <v>1000.0</v>
      </c>
      <c r="G9" s="22">
        <f t="shared" ref="G9:G13" si="2">L8*C9</f>
        <v>5</v>
      </c>
      <c r="H9" s="23">
        <f t="shared" ref="H9:H13" si="3">L8*D9</f>
        <v>2.5</v>
      </c>
      <c r="I9" s="24">
        <f t="shared" ref="I9:I13" si="4">(J9/L8)*100</f>
        <v>0</v>
      </c>
      <c r="J9" s="25"/>
      <c r="K9" s="26"/>
      <c r="L9" s="27">
        <f t="shared" si="1"/>
        <v>50</v>
      </c>
      <c r="M9" s="13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9"/>
      <c r="AB9" s="9"/>
    </row>
    <row r="10" ht="15.75" hidden="1" customHeight="1" outlineLevel="1">
      <c r="A10" s="14">
        <v>46392.0</v>
      </c>
      <c r="B10" s="17">
        <v>0.1</v>
      </c>
      <c r="C10" s="18">
        <v>0.1</v>
      </c>
      <c r="D10" s="19">
        <v>0.05</v>
      </c>
      <c r="E10" s="20">
        <v>3.0</v>
      </c>
      <c r="F10" s="21">
        <v>1000.0</v>
      </c>
      <c r="G10" s="22">
        <f t="shared" si="2"/>
        <v>5</v>
      </c>
      <c r="H10" s="23">
        <f t="shared" si="3"/>
        <v>2.5</v>
      </c>
      <c r="I10" s="24">
        <f t="shared" si="4"/>
        <v>0</v>
      </c>
      <c r="J10" s="25"/>
      <c r="K10" s="26"/>
      <c r="L10" s="27">
        <f t="shared" si="1"/>
        <v>50</v>
      </c>
      <c r="M10" s="13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  <c r="AA10" s="9"/>
      <c r="AB10" s="9"/>
    </row>
    <row r="11" ht="15.75" hidden="1" customHeight="1" outlineLevel="1">
      <c r="A11" s="14">
        <v>46393.0</v>
      </c>
      <c r="B11" s="17">
        <v>0.1</v>
      </c>
      <c r="C11" s="18">
        <v>0.1</v>
      </c>
      <c r="D11" s="19">
        <v>0.05</v>
      </c>
      <c r="E11" s="20">
        <v>3.0</v>
      </c>
      <c r="F11" s="21">
        <v>1000.0</v>
      </c>
      <c r="G11" s="22">
        <f t="shared" si="2"/>
        <v>5</v>
      </c>
      <c r="H11" s="23">
        <f t="shared" si="3"/>
        <v>2.5</v>
      </c>
      <c r="I11" s="24">
        <f t="shared" si="4"/>
        <v>0</v>
      </c>
      <c r="J11" s="25"/>
      <c r="K11" s="26"/>
      <c r="L11" s="27">
        <f t="shared" si="1"/>
        <v>50</v>
      </c>
      <c r="M11" s="13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  <c r="AA11" s="9"/>
      <c r="AB11" s="9"/>
    </row>
    <row r="12" ht="15.75" hidden="1" customHeight="1" outlineLevel="1">
      <c r="A12" s="14">
        <v>46394.0</v>
      </c>
      <c r="B12" s="17">
        <v>0.1</v>
      </c>
      <c r="C12" s="18">
        <v>0.1</v>
      </c>
      <c r="D12" s="19">
        <v>0.05</v>
      </c>
      <c r="E12" s="20">
        <v>3.0</v>
      </c>
      <c r="F12" s="21">
        <v>1000.0</v>
      </c>
      <c r="G12" s="22">
        <f t="shared" si="2"/>
        <v>5</v>
      </c>
      <c r="H12" s="23">
        <f t="shared" si="3"/>
        <v>2.5</v>
      </c>
      <c r="I12" s="24">
        <f t="shared" si="4"/>
        <v>0</v>
      </c>
      <c r="J12" s="25"/>
      <c r="K12" s="26"/>
      <c r="L12" s="27">
        <f t="shared" si="1"/>
        <v>50</v>
      </c>
      <c r="M12" s="13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  <c r="AA12" s="9"/>
      <c r="AB12" s="9"/>
    </row>
    <row r="13" ht="15.75" hidden="1" customHeight="1" outlineLevel="1">
      <c r="A13" s="14">
        <v>46395.0</v>
      </c>
      <c r="B13" s="17">
        <v>0.1</v>
      </c>
      <c r="C13" s="18">
        <v>0.1</v>
      </c>
      <c r="D13" s="19">
        <v>0.05</v>
      </c>
      <c r="E13" s="20">
        <v>3.0</v>
      </c>
      <c r="F13" s="21">
        <v>1000.0</v>
      </c>
      <c r="G13" s="22">
        <f t="shared" si="2"/>
        <v>5</v>
      </c>
      <c r="H13" s="23">
        <f t="shared" si="3"/>
        <v>2.5</v>
      </c>
      <c r="I13" s="24">
        <f t="shared" si="4"/>
        <v>0</v>
      </c>
      <c r="J13" s="25"/>
      <c r="K13" s="26"/>
      <c r="L13" s="27">
        <f t="shared" si="1"/>
        <v>50</v>
      </c>
      <c r="M13" s="13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  <c r="AA13" s="9"/>
      <c r="AB13" s="9"/>
    </row>
    <row r="14" ht="15.75" hidden="1" customHeight="1" outlineLevel="1">
      <c r="A14" s="14"/>
      <c r="B14" s="17"/>
      <c r="C14" s="18"/>
      <c r="D14" s="19"/>
      <c r="E14" s="20"/>
      <c r="F14" s="21"/>
      <c r="G14" s="22"/>
      <c r="H14" s="23"/>
      <c r="I14" s="24"/>
      <c r="J14" s="25"/>
      <c r="K14" s="26"/>
      <c r="L14" s="27">
        <f t="shared" si="1"/>
        <v>50</v>
      </c>
      <c r="M14" s="13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  <c r="AA14" s="9"/>
      <c r="AB14" s="9"/>
    </row>
    <row r="15" ht="15.75" hidden="1" customHeight="1" outlineLevel="1">
      <c r="A15" s="14"/>
      <c r="B15" s="17"/>
      <c r="C15" s="18"/>
      <c r="D15" s="19"/>
      <c r="E15" s="20"/>
      <c r="F15" s="21"/>
      <c r="G15" s="22"/>
      <c r="H15" s="23"/>
      <c r="I15" s="24"/>
      <c r="J15" s="25"/>
      <c r="K15" s="26"/>
      <c r="L15" s="27">
        <f t="shared" si="1"/>
        <v>50</v>
      </c>
      <c r="M15" s="13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  <c r="AA15" s="9"/>
      <c r="AB15" s="9"/>
    </row>
    <row r="16" ht="15.75" hidden="1" customHeight="1" outlineLevel="1">
      <c r="A16" s="14">
        <v>46398.0</v>
      </c>
      <c r="B16" s="17">
        <v>0.1</v>
      </c>
      <c r="C16" s="18">
        <v>0.1</v>
      </c>
      <c r="D16" s="19">
        <v>0.05</v>
      </c>
      <c r="E16" s="20">
        <v>3.0</v>
      </c>
      <c r="F16" s="21">
        <v>1000.0</v>
      </c>
      <c r="G16" s="22">
        <f t="shared" ref="G16:G20" si="5">L15*C16</f>
        <v>5</v>
      </c>
      <c r="H16" s="23">
        <f t="shared" ref="H16:H20" si="6">L15*D16</f>
        <v>2.5</v>
      </c>
      <c r="I16" s="24">
        <f t="shared" ref="I16:I20" si="7">(J16/L15)*100</f>
        <v>0</v>
      </c>
      <c r="J16" s="25"/>
      <c r="K16" s="26"/>
      <c r="L16" s="27">
        <f t="shared" si="1"/>
        <v>50</v>
      </c>
      <c r="M16" s="13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  <c r="AA16" s="9"/>
      <c r="AB16" s="9"/>
    </row>
    <row r="17" ht="15.75" hidden="1" customHeight="1" outlineLevel="1">
      <c r="A17" s="14">
        <v>46399.0</v>
      </c>
      <c r="B17" s="17">
        <v>0.1</v>
      </c>
      <c r="C17" s="18">
        <v>0.1</v>
      </c>
      <c r="D17" s="19">
        <v>0.05</v>
      </c>
      <c r="E17" s="20">
        <v>3.0</v>
      </c>
      <c r="F17" s="21">
        <v>1000.0</v>
      </c>
      <c r="G17" s="22">
        <f t="shared" si="5"/>
        <v>5</v>
      </c>
      <c r="H17" s="23">
        <f t="shared" si="6"/>
        <v>2.5</v>
      </c>
      <c r="I17" s="24">
        <f t="shared" si="7"/>
        <v>0</v>
      </c>
      <c r="J17" s="25"/>
      <c r="K17" s="26"/>
      <c r="L17" s="27">
        <f t="shared" si="1"/>
        <v>50</v>
      </c>
      <c r="M17" s="13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  <c r="AA17" s="9"/>
      <c r="AB17" s="9"/>
    </row>
    <row r="18" ht="15.75" hidden="1" customHeight="1" outlineLevel="1">
      <c r="A18" s="14">
        <v>46400.0</v>
      </c>
      <c r="B18" s="17">
        <v>0.1</v>
      </c>
      <c r="C18" s="18">
        <v>0.1</v>
      </c>
      <c r="D18" s="19">
        <v>0.05</v>
      </c>
      <c r="E18" s="20">
        <v>3.0</v>
      </c>
      <c r="F18" s="21">
        <v>1000.0</v>
      </c>
      <c r="G18" s="22">
        <f t="shared" si="5"/>
        <v>5</v>
      </c>
      <c r="H18" s="23">
        <f t="shared" si="6"/>
        <v>2.5</v>
      </c>
      <c r="I18" s="24">
        <f t="shared" si="7"/>
        <v>0</v>
      </c>
      <c r="J18" s="25"/>
      <c r="K18" s="26"/>
      <c r="L18" s="27">
        <f t="shared" si="1"/>
        <v>50</v>
      </c>
      <c r="M18" s="13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  <c r="AA18" s="9"/>
      <c r="AB18" s="9"/>
    </row>
    <row r="19" ht="15.75" hidden="1" customHeight="1" outlineLevel="1">
      <c r="A19" s="14">
        <v>46401.0</v>
      </c>
      <c r="B19" s="17">
        <v>0.1</v>
      </c>
      <c r="C19" s="18">
        <v>0.1</v>
      </c>
      <c r="D19" s="19">
        <v>0.05</v>
      </c>
      <c r="E19" s="20">
        <v>3.0</v>
      </c>
      <c r="F19" s="21">
        <v>1000.0</v>
      </c>
      <c r="G19" s="22">
        <f t="shared" si="5"/>
        <v>5</v>
      </c>
      <c r="H19" s="23">
        <f t="shared" si="6"/>
        <v>2.5</v>
      </c>
      <c r="I19" s="24">
        <f t="shared" si="7"/>
        <v>0</v>
      </c>
      <c r="J19" s="25"/>
      <c r="K19" s="26"/>
      <c r="L19" s="27">
        <f t="shared" si="1"/>
        <v>50</v>
      </c>
      <c r="M19" s="13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9"/>
      <c r="AB19" s="9"/>
    </row>
    <row r="20" ht="15.75" hidden="1" customHeight="1" outlineLevel="1">
      <c r="A20" s="14">
        <v>46402.0</v>
      </c>
      <c r="B20" s="17">
        <v>0.1</v>
      </c>
      <c r="C20" s="18">
        <v>0.1</v>
      </c>
      <c r="D20" s="19">
        <v>0.05</v>
      </c>
      <c r="E20" s="20">
        <v>3.0</v>
      </c>
      <c r="F20" s="21">
        <v>1000.0</v>
      </c>
      <c r="G20" s="22">
        <f t="shared" si="5"/>
        <v>5</v>
      </c>
      <c r="H20" s="23">
        <f t="shared" si="6"/>
        <v>2.5</v>
      </c>
      <c r="I20" s="24">
        <f t="shared" si="7"/>
        <v>0</v>
      </c>
      <c r="J20" s="25"/>
      <c r="K20" s="26"/>
      <c r="L20" s="27">
        <f t="shared" si="1"/>
        <v>50</v>
      </c>
      <c r="M20" s="13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  <c r="AA20" s="9"/>
      <c r="AB20" s="9"/>
    </row>
    <row r="21" ht="15.75" hidden="1" customHeight="1" outlineLevel="1">
      <c r="A21" s="14"/>
      <c r="B21" s="17"/>
      <c r="C21" s="18"/>
      <c r="D21" s="19"/>
      <c r="E21" s="20"/>
      <c r="F21" s="21"/>
      <c r="G21" s="22"/>
      <c r="H21" s="23"/>
      <c r="I21" s="24"/>
      <c r="J21" s="25"/>
      <c r="K21" s="26"/>
      <c r="L21" s="27">
        <f t="shared" si="1"/>
        <v>50</v>
      </c>
      <c r="M21" s="13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  <c r="AA21" s="9"/>
      <c r="AB21" s="9"/>
    </row>
    <row r="22" ht="15.75" hidden="1" customHeight="1" outlineLevel="1">
      <c r="A22" s="14"/>
      <c r="B22" s="17"/>
      <c r="C22" s="18"/>
      <c r="D22" s="19"/>
      <c r="E22" s="20"/>
      <c r="F22" s="21"/>
      <c r="G22" s="22"/>
      <c r="H22" s="23"/>
      <c r="I22" s="24"/>
      <c r="J22" s="25"/>
      <c r="K22" s="26"/>
      <c r="L22" s="27">
        <f t="shared" si="1"/>
        <v>50</v>
      </c>
      <c r="M22" s="13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  <c r="AA22" s="9"/>
      <c r="AB22" s="9"/>
    </row>
    <row r="23" ht="15.75" hidden="1" customHeight="1" outlineLevel="1">
      <c r="A23" s="14">
        <v>46405.0</v>
      </c>
      <c r="B23" s="17">
        <v>0.1</v>
      </c>
      <c r="C23" s="18">
        <v>0.1</v>
      </c>
      <c r="D23" s="19">
        <v>0.05</v>
      </c>
      <c r="E23" s="20">
        <v>3.0</v>
      </c>
      <c r="F23" s="21">
        <v>1000.0</v>
      </c>
      <c r="G23" s="22">
        <f t="shared" ref="G23:G27" si="8">L22*C23</f>
        <v>5</v>
      </c>
      <c r="H23" s="23">
        <f t="shared" ref="H23:H27" si="9">L22*D23</f>
        <v>2.5</v>
      </c>
      <c r="I23" s="24">
        <f t="shared" ref="I23:I27" si="10">(J23/L22)*100</f>
        <v>0</v>
      </c>
      <c r="J23" s="25"/>
      <c r="K23" s="26"/>
      <c r="L23" s="27">
        <f t="shared" si="1"/>
        <v>50</v>
      </c>
      <c r="M23" s="13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  <c r="AA23" s="9"/>
      <c r="AB23" s="9"/>
    </row>
    <row r="24" ht="15.75" hidden="1" customHeight="1" outlineLevel="1">
      <c r="A24" s="14">
        <v>46406.0</v>
      </c>
      <c r="B24" s="17">
        <v>0.1</v>
      </c>
      <c r="C24" s="18">
        <v>0.1</v>
      </c>
      <c r="D24" s="19">
        <v>0.05</v>
      </c>
      <c r="E24" s="20">
        <v>3.0</v>
      </c>
      <c r="F24" s="21">
        <v>1000.0</v>
      </c>
      <c r="G24" s="22">
        <f t="shared" si="8"/>
        <v>5</v>
      </c>
      <c r="H24" s="23">
        <f t="shared" si="9"/>
        <v>2.5</v>
      </c>
      <c r="I24" s="24">
        <f t="shared" si="10"/>
        <v>0</v>
      </c>
      <c r="J24" s="25"/>
      <c r="K24" s="26"/>
      <c r="L24" s="27">
        <f t="shared" si="1"/>
        <v>50</v>
      </c>
      <c r="M24" s="13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  <c r="AA24" s="9"/>
      <c r="AB24" s="9"/>
    </row>
    <row r="25" ht="15.75" hidden="1" customHeight="1" outlineLevel="1">
      <c r="A25" s="14">
        <v>46407.0</v>
      </c>
      <c r="B25" s="17">
        <v>0.1</v>
      </c>
      <c r="C25" s="18">
        <v>0.1</v>
      </c>
      <c r="D25" s="19">
        <v>0.05</v>
      </c>
      <c r="E25" s="20">
        <v>3.0</v>
      </c>
      <c r="F25" s="21">
        <v>1000.0</v>
      </c>
      <c r="G25" s="22">
        <f t="shared" si="8"/>
        <v>5</v>
      </c>
      <c r="H25" s="23">
        <f t="shared" si="9"/>
        <v>2.5</v>
      </c>
      <c r="I25" s="24">
        <f t="shared" si="10"/>
        <v>0</v>
      </c>
      <c r="J25" s="25"/>
      <c r="K25" s="26"/>
      <c r="L25" s="27">
        <f t="shared" si="1"/>
        <v>50</v>
      </c>
      <c r="M25" s="13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9"/>
      <c r="AB25" s="9"/>
    </row>
    <row r="26" ht="15.75" hidden="1" customHeight="1" outlineLevel="1">
      <c r="A26" s="14">
        <v>46408.0</v>
      </c>
      <c r="B26" s="17">
        <v>0.1</v>
      </c>
      <c r="C26" s="18">
        <v>0.1</v>
      </c>
      <c r="D26" s="19">
        <v>0.05</v>
      </c>
      <c r="E26" s="20">
        <v>3.0</v>
      </c>
      <c r="F26" s="21">
        <v>1000.0</v>
      </c>
      <c r="G26" s="22">
        <f t="shared" si="8"/>
        <v>5</v>
      </c>
      <c r="H26" s="23">
        <f t="shared" si="9"/>
        <v>2.5</v>
      </c>
      <c r="I26" s="24">
        <f t="shared" si="10"/>
        <v>0</v>
      </c>
      <c r="J26" s="25"/>
      <c r="K26" s="26"/>
      <c r="L26" s="27">
        <f t="shared" si="1"/>
        <v>50</v>
      </c>
      <c r="M26" s="13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  <c r="AA26" s="9"/>
      <c r="AB26" s="9"/>
    </row>
    <row r="27" ht="15.75" hidden="1" customHeight="1" outlineLevel="1">
      <c r="A27" s="14">
        <v>46409.0</v>
      </c>
      <c r="B27" s="17">
        <v>0.1</v>
      </c>
      <c r="C27" s="18">
        <v>0.1</v>
      </c>
      <c r="D27" s="19">
        <v>0.05</v>
      </c>
      <c r="E27" s="20">
        <v>3.0</v>
      </c>
      <c r="F27" s="21">
        <v>1000.0</v>
      </c>
      <c r="G27" s="22">
        <f t="shared" si="8"/>
        <v>5</v>
      </c>
      <c r="H27" s="23">
        <f t="shared" si="9"/>
        <v>2.5</v>
      </c>
      <c r="I27" s="24">
        <f t="shared" si="10"/>
        <v>0</v>
      </c>
      <c r="J27" s="25"/>
      <c r="K27" s="26"/>
      <c r="L27" s="27">
        <f t="shared" si="1"/>
        <v>50</v>
      </c>
      <c r="M27" s="13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  <c r="AA27" s="9"/>
      <c r="AB27" s="9"/>
    </row>
    <row r="28" ht="15.75" hidden="1" customHeight="1" outlineLevel="1">
      <c r="A28" s="14"/>
      <c r="B28" s="17"/>
      <c r="C28" s="18"/>
      <c r="D28" s="19"/>
      <c r="E28" s="20"/>
      <c r="F28" s="21"/>
      <c r="G28" s="22"/>
      <c r="H28" s="23"/>
      <c r="I28" s="24"/>
      <c r="J28" s="25"/>
      <c r="K28" s="26"/>
      <c r="L28" s="27">
        <f t="shared" si="1"/>
        <v>50</v>
      </c>
      <c r="M28" s="13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  <c r="AA28" s="9"/>
      <c r="AB28" s="9"/>
    </row>
    <row r="29" ht="15.75" hidden="1" customHeight="1" outlineLevel="1">
      <c r="A29" s="14"/>
      <c r="B29" s="17"/>
      <c r="C29" s="18"/>
      <c r="D29" s="19"/>
      <c r="E29" s="20"/>
      <c r="F29" s="21"/>
      <c r="G29" s="22"/>
      <c r="H29" s="23"/>
      <c r="I29" s="24"/>
      <c r="J29" s="25"/>
      <c r="K29" s="26"/>
      <c r="L29" s="27">
        <f t="shared" si="1"/>
        <v>50</v>
      </c>
      <c r="M29" s="13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  <c r="AA29" s="9"/>
      <c r="AB29" s="9"/>
    </row>
    <row r="30" ht="15.75" hidden="1" customHeight="1" outlineLevel="1">
      <c r="A30" s="14">
        <v>46412.0</v>
      </c>
      <c r="B30" s="17">
        <v>0.1</v>
      </c>
      <c r="C30" s="18">
        <v>0.1</v>
      </c>
      <c r="D30" s="19">
        <v>0.05</v>
      </c>
      <c r="E30" s="20">
        <v>3.0</v>
      </c>
      <c r="F30" s="21">
        <v>1000.0</v>
      </c>
      <c r="G30" s="22">
        <f t="shared" ref="G30:G34" si="11">L29*C30</f>
        <v>5</v>
      </c>
      <c r="H30" s="23">
        <f t="shared" ref="H30:H34" si="12">L29*D30</f>
        <v>2.5</v>
      </c>
      <c r="I30" s="24">
        <f t="shared" ref="I30:I34" si="13">(J30/L29)*100</f>
        <v>0</v>
      </c>
      <c r="J30" s="25"/>
      <c r="K30" s="26"/>
      <c r="L30" s="27">
        <f t="shared" si="1"/>
        <v>50</v>
      </c>
      <c r="M30" s="13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  <c r="AA30" s="9"/>
      <c r="AB30" s="9"/>
    </row>
    <row r="31" ht="15.75" hidden="1" customHeight="1" outlineLevel="1">
      <c r="A31" s="14">
        <v>46413.0</v>
      </c>
      <c r="B31" s="17">
        <v>0.1</v>
      </c>
      <c r="C31" s="18">
        <v>0.1</v>
      </c>
      <c r="D31" s="19">
        <v>0.05</v>
      </c>
      <c r="E31" s="20">
        <v>3.0</v>
      </c>
      <c r="F31" s="21">
        <v>1000.0</v>
      </c>
      <c r="G31" s="22">
        <f t="shared" si="11"/>
        <v>5</v>
      </c>
      <c r="H31" s="23">
        <f t="shared" si="12"/>
        <v>2.5</v>
      </c>
      <c r="I31" s="24">
        <f t="shared" si="13"/>
        <v>0</v>
      </c>
      <c r="J31" s="25"/>
      <c r="K31" s="26"/>
      <c r="L31" s="27">
        <f t="shared" si="1"/>
        <v>50</v>
      </c>
      <c r="M31" s="13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  <c r="AA31" s="9"/>
      <c r="AB31" s="9"/>
    </row>
    <row r="32" ht="15.75" hidden="1" customHeight="1" outlineLevel="1">
      <c r="A32" s="14">
        <v>46414.0</v>
      </c>
      <c r="B32" s="17">
        <v>0.1</v>
      </c>
      <c r="C32" s="18">
        <v>0.1</v>
      </c>
      <c r="D32" s="19">
        <v>0.05</v>
      </c>
      <c r="E32" s="20">
        <v>3.0</v>
      </c>
      <c r="F32" s="21">
        <v>1000.0</v>
      </c>
      <c r="G32" s="22">
        <f t="shared" si="11"/>
        <v>5</v>
      </c>
      <c r="H32" s="23">
        <f t="shared" si="12"/>
        <v>2.5</v>
      </c>
      <c r="I32" s="24">
        <f t="shared" si="13"/>
        <v>0</v>
      </c>
      <c r="J32" s="25"/>
      <c r="K32" s="26"/>
      <c r="L32" s="27">
        <f t="shared" si="1"/>
        <v>50</v>
      </c>
      <c r="M32" s="13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  <c r="AA32" s="9"/>
      <c r="AB32" s="9"/>
    </row>
    <row r="33" ht="15.75" hidden="1" customHeight="1" outlineLevel="1">
      <c r="A33" s="14">
        <v>46415.0</v>
      </c>
      <c r="B33" s="17">
        <v>0.1</v>
      </c>
      <c r="C33" s="18">
        <v>0.1</v>
      </c>
      <c r="D33" s="19">
        <v>0.05</v>
      </c>
      <c r="E33" s="20">
        <v>3.0</v>
      </c>
      <c r="F33" s="21">
        <v>1000.0</v>
      </c>
      <c r="G33" s="22">
        <f t="shared" si="11"/>
        <v>5</v>
      </c>
      <c r="H33" s="23">
        <f t="shared" si="12"/>
        <v>2.5</v>
      </c>
      <c r="I33" s="24">
        <f t="shared" si="13"/>
        <v>0</v>
      </c>
      <c r="J33" s="25"/>
      <c r="K33" s="26"/>
      <c r="L33" s="27">
        <f t="shared" si="1"/>
        <v>50</v>
      </c>
      <c r="M33" s="13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  <c r="AA33" s="9"/>
      <c r="AB33" s="9"/>
    </row>
    <row r="34" ht="15.75" hidden="1" customHeight="1" outlineLevel="1">
      <c r="A34" s="14">
        <v>46416.0</v>
      </c>
      <c r="B34" s="17">
        <v>0.1</v>
      </c>
      <c r="C34" s="18">
        <v>0.1</v>
      </c>
      <c r="D34" s="19">
        <v>0.05</v>
      </c>
      <c r="E34" s="20">
        <v>3.0</v>
      </c>
      <c r="F34" s="21">
        <v>1000.0</v>
      </c>
      <c r="G34" s="22">
        <f t="shared" si="11"/>
        <v>5</v>
      </c>
      <c r="H34" s="23">
        <f t="shared" si="12"/>
        <v>2.5</v>
      </c>
      <c r="I34" s="24">
        <f t="shared" si="13"/>
        <v>0</v>
      </c>
      <c r="J34" s="25"/>
      <c r="K34" s="26"/>
      <c r="L34" s="27">
        <f t="shared" si="1"/>
        <v>50</v>
      </c>
      <c r="M34" s="13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9"/>
      <c r="AB34" s="9"/>
    </row>
    <row r="35" ht="15.75" hidden="1" customHeight="1" outlineLevel="1">
      <c r="A35" s="14"/>
      <c r="B35" s="17"/>
      <c r="C35" s="18"/>
      <c r="D35" s="19"/>
      <c r="E35" s="20"/>
      <c r="F35" s="21"/>
      <c r="G35" s="22"/>
      <c r="H35" s="23"/>
      <c r="I35" s="24"/>
      <c r="J35" s="25"/>
      <c r="K35" s="26"/>
      <c r="L35" s="27">
        <f t="shared" si="1"/>
        <v>50</v>
      </c>
      <c r="M35" s="13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  <c r="AA35" s="9"/>
      <c r="AB35" s="9"/>
    </row>
    <row r="36" ht="15.75" hidden="1" customHeight="1" outlineLevel="1">
      <c r="A36" s="14"/>
      <c r="B36" s="17"/>
      <c r="C36" s="18"/>
      <c r="D36" s="19"/>
      <c r="E36" s="20"/>
      <c r="F36" s="21"/>
      <c r="G36" s="22"/>
      <c r="H36" s="23"/>
      <c r="I36" s="24"/>
      <c r="J36" s="25"/>
      <c r="K36" s="26"/>
      <c r="L36" s="27">
        <f t="shared" si="1"/>
        <v>50</v>
      </c>
      <c r="M36" s="13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  <c r="AA36" s="9"/>
      <c r="AB36" s="9"/>
    </row>
    <row r="37" ht="15.75" hidden="1" customHeight="1" outlineLevel="1">
      <c r="A37" s="28" t="s">
        <v>18</v>
      </c>
      <c r="C37" s="29">
        <f>SUM(C6:C36)</f>
        <v>2.1</v>
      </c>
      <c r="D37" s="30"/>
      <c r="E37" s="30"/>
      <c r="F37" s="30"/>
      <c r="G37" s="30"/>
      <c r="H37" s="30"/>
      <c r="I37" s="31">
        <f t="shared" ref="I37:K37" si="14">SUM(I6:I36)</f>
        <v>0</v>
      </c>
      <c r="J37" s="32">
        <f t="shared" si="14"/>
        <v>0</v>
      </c>
      <c r="K37" s="30">
        <f t="shared" si="14"/>
        <v>0</v>
      </c>
      <c r="L37" s="32">
        <f>L36</f>
        <v>50</v>
      </c>
      <c r="M37" s="13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  <c r="AA37" s="9"/>
      <c r="AB37" s="9"/>
    </row>
    <row r="38" ht="15.75" customHeight="1">
      <c r="A38" s="38"/>
      <c r="B38" s="35"/>
      <c r="C38" s="35"/>
      <c r="D38" s="35"/>
      <c r="E38" s="35"/>
      <c r="F38" s="35"/>
      <c r="G38" s="35"/>
      <c r="H38" s="35"/>
      <c r="I38" s="35"/>
      <c r="J38" s="35"/>
      <c r="K38" s="37">
        <f>SUM(K6:K36)</f>
        <v>0</v>
      </c>
      <c r="L38" s="35"/>
      <c r="M38" s="13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  <c r="AA38" s="9"/>
      <c r="AB38" s="9"/>
    </row>
    <row r="39" ht="15.75" customHeight="1" collapsed="1">
      <c r="A39" s="1" t="s">
        <v>20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  <c r="AA39" s="9"/>
      <c r="AB39" s="9"/>
    </row>
    <row r="40" ht="15.75" hidden="1" customHeight="1" outlineLevel="1">
      <c r="A40" s="14" t="s">
        <v>6</v>
      </c>
      <c r="B40" s="1" t="s">
        <v>7</v>
      </c>
      <c r="C40" s="1" t="s">
        <v>8</v>
      </c>
      <c r="D40" s="15" t="s">
        <v>9</v>
      </c>
      <c r="E40" s="15" t="s">
        <v>10</v>
      </c>
      <c r="F40" s="15" t="s">
        <v>11</v>
      </c>
      <c r="G40" s="16" t="s">
        <v>12</v>
      </c>
      <c r="H40" s="15" t="s">
        <v>13</v>
      </c>
      <c r="I40" s="1" t="s">
        <v>14</v>
      </c>
      <c r="J40" s="17" t="s">
        <v>15</v>
      </c>
      <c r="K40" s="1" t="s">
        <v>16</v>
      </c>
      <c r="L40" s="1" t="s">
        <v>17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  <c r="AA40" s="9"/>
      <c r="AB40" s="9"/>
    </row>
    <row r="41" ht="15.75" hidden="1" customHeight="1" outlineLevel="1">
      <c r="A41" s="14">
        <v>46419.0</v>
      </c>
      <c r="B41" s="17">
        <v>0.1</v>
      </c>
      <c r="C41" s="18">
        <v>0.1</v>
      </c>
      <c r="D41" s="19">
        <v>0.05</v>
      </c>
      <c r="E41" s="20">
        <v>3.0</v>
      </c>
      <c r="F41" s="21">
        <v>1000.0</v>
      </c>
      <c r="G41" s="22">
        <f>L37*C41</f>
        <v>5</v>
      </c>
      <c r="H41" s="23">
        <f>L37*D41</f>
        <v>2.5</v>
      </c>
      <c r="I41" s="24">
        <f>(J41/L37)*100</f>
        <v>0</v>
      </c>
      <c r="J41" s="25"/>
      <c r="K41" s="26"/>
      <c r="L41" s="27">
        <f>(L37+J41)-K41</f>
        <v>50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  <c r="AA41" s="9"/>
      <c r="AB41" s="9"/>
    </row>
    <row r="42" ht="15.75" hidden="1" customHeight="1" outlineLevel="1">
      <c r="A42" s="14">
        <v>46420.0</v>
      </c>
      <c r="B42" s="17">
        <v>0.1</v>
      </c>
      <c r="C42" s="18">
        <v>0.1</v>
      </c>
      <c r="D42" s="19">
        <v>0.05</v>
      </c>
      <c r="E42" s="20">
        <v>3.0</v>
      </c>
      <c r="F42" s="21">
        <v>1000.0</v>
      </c>
      <c r="G42" s="22">
        <f t="shared" ref="G42:G45" si="15">L41*C42</f>
        <v>5</v>
      </c>
      <c r="H42" s="23">
        <f t="shared" ref="H42:H45" si="16">L41*D42</f>
        <v>2.5</v>
      </c>
      <c r="I42" s="24">
        <f t="shared" ref="I42:I45" si="17">(J42/L41)*100</f>
        <v>0</v>
      </c>
      <c r="J42" s="25"/>
      <c r="K42" s="26"/>
      <c r="L42" s="27">
        <f t="shared" ref="L42:L68" si="18">(L41+J42)-K42</f>
        <v>50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  <c r="AA42" s="9"/>
      <c r="AB42" s="9"/>
    </row>
    <row r="43" ht="15.75" hidden="1" customHeight="1" outlineLevel="1">
      <c r="A43" s="14">
        <v>46421.0</v>
      </c>
      <c r="B43" s="17">
        <v>0.1</v>
      </c>
      <c r="C43" s="18">
        <v>0.1</v>
      </c>
      <c r="D43" s="19">
        <v>0.05</v>
      </c>
      <c r="E43" s="20">
        <v>3.0</v>
      </c>
      <c r="F43" s="21">
        <v>1000.0</v>
      </c>
      <c r="G43" s="22">
        <f t="shared" si="15"/>
        <v>5</v>
      </c>
      <c r="H43" s="23">
        <f t="shared" si="16"/>
        <v>2.5</v>
      </c>
      <c r="I43" s="24">
        <f t="shared" si="17"/>
        <v>0</v>
      </c>
      <c r="J43" s="25"/>
      <c r="K43" s="26"/>
      <c r="L43" s="27">
        <f t="shared" si="18"/>
        <v>50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  <c r="AA43" s="9"/>
      <c r="AB43" s="9"/>
    </row>
    <row r="44" ht="15.75" hidden="1" customHeight="1" outlineLevel="1">
      <c r="A44" s="14">
        <v>46422.0</v>
      </c>
      <c r="B44" s="17">
        <v>0.1</v>
      </c>
      <c r="C44" s="18">
        <v>0.1</v>
      </c>
      <c r="D44" s="19">
        <v>0.05</v>
      </c>
      <c r="E44" s="20">
        <v>3.0</v>
      </c>
      <c r="F44" s="21">
        <v>1000.0</v>
      </c>
      <c r="G44" s="22">
        <f t="shared" si="15"/>
        <v>5</v>
      </c>
      <c r="H44" s="23">
        <f t="shared" si="16"/>
        <v>2.5</v>
      </c>
      <c r="I44" s="24">
        <f t="shared" si="17"/>
        <v>0</v>
      </c>
      <c r="J44" s="25"/>
      <c r="K44" s="26"/>
      <c r="L44" s="27">
        <f t="shared" si="18"/>
        <v>50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  <c r="AA44" s="9"/>
      <c r="AB44" s="9"/>
    </row>
    <row r="45" ht="15.75" hidden="1" customHeight="1" outlineLevel="1">
      <c r="A45" s="14">
        <v>46423.0</v>
      </c>
      <c r="B45" s="17">
        <v>0.1</v>
      </c>
      <c r="C45" s="18">
        <v>0.1</v>
      </c>
      <c r="D45" s="19">
        <v>0.05</v>
      </c>
      <c r="E45" s="20">
        <v>3.0</v>
      </c>
      <c r="F45" s="21">
        <v>1000.0</v>
      </c>
      <c r="G45" s="22">
        <f t="shared" si="15"/>
        <v>5</v>
      </c>
      <c r="H45" s="23">
        <f t="shared" si="16"/>
        <v>2.5</v>
      </c>
      <c r="I45" s="24">
        <f t="shared" si="17"/>
        <v>0</v>
      </c>
      <c r="J45" s="25"/>
      <c r="K45" s="26"/>
      <c r="L45" s="27">
        <f t="shared" si="18"/>
        <v>50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  <c r="AA45" s="9"/>
      <c r="AB45" s="9"/>
    </row>
    <row r="46" ht="15.75" hidden="1" customHeight="1" outlineLevel="1">
      <c r="A46" s="14"/>
      <c r="B46" s="17"/>
      <c r="C46" s="18"/>
      <c r="D46" s="19"/>
      <c r="E46" s="20"/>
      <c r="F46" s="21"/>
      <c r="G46" s="22"/>
      <c r="H46" s="23"/>
      <c r="I46" s="24"/>
      <c r="J46" s="25"/>
      <c r="K46" s="26"/>
      <c r="L46" s="27">
        <f t="shared" si="18"/>
        <v>50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  <c r="AA46" s="9"/>
      <c r="AB46" s="9"/>
    </row>
    <row r="47" ht="15.75" hidden="1" customHeight="1" outlineLevel="1">
      <c r="A47" s="14"/>
      <c r="B47" s="17"/>
      <c r="C47" s="18"/>
      <c r="D47" s="19"/>
      <c r="E47" s="20"/>
      <c r="F47" s="21"/>
      <c r="G47" s="22"/>
      <c r="H47" s="23"/>
      <c r="I47" s="24"/>
      <c r="J47" s="25"/>
      <c r="K47" s="26"/>
      <c r="L47" s="27">
        <f t="shared" si="18"/>
        <v>50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  <c r="AA47" s="9"/>
      <c r="AB47" s="9"/>
    </row>
    <row r="48" ht="15.75" hidden="1" customHeight="1" outlineLevel="1">
      <c r="A48" s="14">
        <v>46426.0</v>
      </c>
      <c r="B48" s="17">
        <v>0.1</v>
      </c>
      <c r="C48" s="18">
        <v>0.1</v>
      </c>
      <c r="D48" s="19">
        <v>0.05</v>
      </c>
      <c r="E48" s="20">
        <v>3.0</v>
      </c>
      <c r="F48" s="21">
        <v>1000.0</v>
      </c>
      <c r="G48" s="22">
        <f t="shared" ref="G48:G52" si="19">L47*C48</f>
        <v>5</v>
      </c>
      <c r="H48" s="23">
        <f t="shared" ref="H48:H52" si="20">L47*D48</f>
        <v>2.5</v>
      </c>
      <c r="I48" s="24">
        <f t="shared" ref="I48:I52" si="21">(J48/L47)*100</f>
        <v>0</v>
      </c>
      <c r="J48" s="25"/>
      <c r="K48" s="26"/>
      <c r="L48" s="27">
        <f t="shared" si="18"/>
        <v>50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  <c r="AA48" s="9"/>
      <c r="AB48" s="9"/>
    </row>
    <row r="49" ht="15.75" hidden="1" customHeight="1" outlineLevel="1">
      <c r="A49" s="14">
        <v>46427.0</v>
      </c>
      <c r="B49" s="17">
        <v>0.1</v>
      </c>
      <c r="C49" s="18">
        <v>0.1</v>
      </c>
      <c r="D49" s="19">
        <v>0.05</v>
      </c>
      <c r="E49" s="20">
        <v>3.0</v>
      </c>
      <c r="F49" s="21">
        <v>1000.0</v>
      </c>
      <c r="G49" s="22">
        <f t="shared" si="19"/>
        <v>5</v>
      </c>
      <c r="H49" s="23">
        <f t="shared" si="20"/>
        <v>2.5</v>
      </c>
      <c r="I49" s="24">
        <f t="shared" si="21"/>
        <v>0</v>
      </c>
      <c r="J49" s="25"/>
      <c r="K49" s="26"/>
      <c r="L49" s="27">
        <f t="shared" si="18"/>
        <v>50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  <c r="AA49" s="9"/>
      <c r="AB49" s="9"/>
    </row>
    <row r="50" ht="15.75" hidden="1" customHeight="1" outlineLevel="1">
      <c r="A50" s="14">
        <v>46428.0</v>
      </c>
      <c r="B50" s="17">
        <v>0.1</v>
      </c>
      <c r="C50" s="18">
        <v>0.1</v>
      </c>
      <c r="D50" s="19">
        <v>0.05</v>
      </c>
      <c r="E50" s="20">
        <v>3.0</v>
      </c>
      <c r="F50" s="21">
        <v>1000.0</v>
      </c>
      <c r="G50" s="22">
        <f t="shared" si="19"/>
        <v>5</v>
      </c>
      <c r="H50" s="23">
        <f t="shared" si="20"/>
        <v>2.5</v>
      </c>
      <c r="I50" s="24">
        <f t="shared" si="21"/>
        <v>0</v>
      </c>
      <c r="J50" s="25"/>
      <c r="K50" s="26"/>
      <c r="L50" s="27">
        <f t="shared" si="18"/>
        <v>50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  <c r="AA50" s="9"/>
      <c r="AB50" s="9"/>
    </row>
    <row r="51" ht="15.75" hidden="1" customHeight="1" outlineLevel="1">
      <c r="A51" s="14">
        <v>46429.0</v>
      </c>
      <c r="B51" s="17">
        <v>0.1</v>
      </c>
      <c r="C51" s="18">
        <v>0.1</v>
      </c>
      <c r="D51" s="19">
        <v>0.05</v>
      </c>
      <c r="E51" s="20">
        <v>3.0</v>
      </c>
      <c r="F51" s="21">
        <v>1000.0</v>
      </c>
      <c r="G51" s="22">
        <f t="shared" si="19"/>
        <v>5</v>
      </c>
      <c r="H51" s="23">
        <f t="shared" si="20"/>
        <v>2.5</v>
      </c>
      <c r="I51" s="24">
        <f t="shared" si="21"/>
        <v>0</v>
      </c>
      <c r="J51" s="25"/>
      <c r="K51" s="26"/>
      <c r="L51" s="27">
        <f t="shared" si="18"/>
        <v>50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  <c r="AA51" s="9"/>
      <c r="AB51" s="9"/>
    </row>
    <row r="52" ht="15.75" hidden="1" customHeight="1" outlineLevel="1">
      <c r="A52" s="14">
        <v>46430.0</v>
      </c>
      <c r="B52" s="17">
        <v>0.1</v>
      </c>
      <c r="C52" s="18">
        <v>0.1</v>
      </c>
      <c r="D52" s="19">
        <v>0.05</v>
      </c>
      <c r="E52" s="20">
        <v>3.0</v>
      </c>
      <c r="F52" s="21">
        <v>1000.0</v>
      </c>
      <c r="G52" s="22">
        <f t="shared" si="19"/>
        <v>5</v>
      </c>
      <c r="H52" s="23">
        <f t="shared" si="20"/>
        <v>2.5</v>
      </c>
      <c r="I52" s="24">
        <f t="shared" si="21"/>
        <v>0</v>
      </c>
      <c r="J52" s="25"/>
      <c r="K52" s="26"/>
      <c r="L52" s="27">
        <f t="shared" si="18"/>
        <v>50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  <c r="AA52" s="9"/>
      <c r="AB52" s="9"/>
    </row>
    <row r="53" ht="15.75" hidden="1" customHeight="1" outlineLevel="1">
      <c r="A53" s="14"/>
      <c r="B53" s="17"/>
      <c r="C53" s="18"/>
      <c r="D53" s="19"/>
      <c r="E53" s="20"/>
      <c r="F53" s="21"/>
      <c r="G53" s="22"/>
      <c r="H53" s="23"/>
      <c r="I53" s="24"/>
      <c r="J53" s="25"/>
      <c r="K53" s="26"/>
      <c r="L53" s="27">
        <f t="shared" si="18"/>
        <v>50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  <c r="AA53" s="9"/>
      <c r="AB53" s="9"/>
    </row>
    <row r="54" ht="15.75" hidden="1" customHeight="1" outlineLevel="1">
      <c r="A54" s="14"/>
      <c r="B54" s="17"/>
      <c r="C54" s="18"/>
      <c r="D54" s="19"/>
      <c r="E54" s="20"/>
      <c r="F54" s="21"/>
      <c r="G54" s="22"/>
      <c r="H54" s="23"/>
      <c r="I54" s="24"/>
      <c r="J54" s="25"/>
      <c r="K54" s="26"/>
      <c r="L54" s="27">
        <f t="shared" si="18"/>
        <v>50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  <c r="AA54" s="9"/>
      <c r="AB54" s="9"/>
    </row>
    <row r="55" ht="15.75" hidden="1" customHeight="1" outlineLevel="1">
      <c r="A55" s="14">
        <v>46433.0</v>
      </c>
      <c r="B55" s="17">
        <v>0.1</v>
      </c>
      <c r="C55" s="18">
        <v>0.1</v>
      </c>
      <c r="D55" s="19">
        <v>0.05</v>
      </c>
      <c r="E55" s="20">
        <v>3.0</v>
      </c>
      <c r="F55" s="21">
        <v>1000.0</v>
      </c>
      <c r="G55" s="22">
        <f t="shared" ref="G55:G59" si="22">L54*C55</f>
        <v>5</v>
      </c>
      <c r="H55" s="23">
        <f t="shared" ref="H55:H59" si="23">L54*D55</f>
        <v>2.5</v>
      </c>
      <c r="I55" s="24">
        <f t="shared" ref="I55:I59" si="24">(J55/L54)*100</f>
        <v>0</v>
      </c>
      <c r="J55" s="25"/>
      <c r="K55" s="26"/>
      <c r="L55" s="27">
        <f t="shared" si="18"/>
        <v>50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  <c r="AA55" s="9"/>
      <c r="AB55" s="9"/>
    </row>
    <row r="56" ht="15.75" hidden="1" customHeight="1" outlineLevel="1">
      <c r="A56" s="14">
        <v>46434.0</v>
      </c>
      <c r="B56" s="17">
        <v>0.1</v>
      </c>
      <c r="C56" s="18">
        <v>0.1</v>
      </c>
      <c r="D56" s="19">
        <v>0.05</v>
      </c>
      <c r="E56" s="20">
        <v>3.0</v>
      </c>
      <c r="F56" s="21">
        <v>1000.0</v>
      </c>
      <c r="G56" s="22">
        <f t="shared" si="22"/>
        <v>5</v>
      </c>
      <c r="H56" s="23">
        <f t="shared" si="23"/>
        <v>2.5</v>
      </c>
      <c r="I56" s="24">
        <f t="shared" si="24"/>
        <v>0</v>
      </c>
      <c r="J56" s="25"/>
      <c r="K56" s="26"/>
      <c r="L56" s="27">
        <f t="shared" si="18"/>
        <v>50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  <c r="AA56" s="9"/>
      <c r="AB56" s="9"/>
    </row>
    <row r="57" ht="15.75" hidden="1" customHeight="1" outlineLevel="1">
      <c r="A57" s="14">
        <v>46435.0</v>
      </c>
      <c r="B57" s="17">
        <v>0.1</v>
      </c>
      <c r="C57" s="18">
        <v>0.1</v>
      </c>
      <c r="D57" s="19">
        <v>0.05</v>
      </c>
      <c r="E57" s="20">
        <v>3.0</v>
      </c>
      <c r="F57" s="21">
        <v>1000.0</v>
      </c>
      <c r="G57" s="22">
        <f t="shared" si="22"/>
        <v>5</v>
      </c>
      <c r="H57" s="23">
        <f t="shared" si="23"/>
        <v>2.5</v>
      </c>
      <c r="I57" s="24">
        <f t="shared" si="24"/>
        <v>0</v>
      </c>
      <c r="J57" s="25"/>
      <c r="K57" s="26"/>
      <c r="L57" s="27">
        <f t="shared" si="18"/>
        <v>50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  <c r="AA57" s="9"/>
      <c r="AB57" s="9"/>
    </row>
    <row r="58" ht="15.75" hidden="1" customHeight="1" outlineLevel="1">
      <c r="A58" s="14">
        <v>46436.0</v>
      </c>
      <c r="B58" s="17">
        <v>0.1</v>
      </c>
      <c r="C58" s="18">
        <v>0.1</v>
      </c>
      <c r="D58" s="19">
        <v>0.05</v>
      </c>
      <c r="E58" s="20">
        <v>3.0</v>
      </c>
      <c r="F58" s="21">
        <v>1000.0</v>
      </c>
      <c r="G58" s="22">
        <f t="shared" si="22"/>
        <v>5</v>
      </c>
      <c r="H58" s="23">
        <f t="shared" si="23"/>
        <v>2.5</v>
      </c>
      <c r="I58" s="24">
        <f t="shared" si="24"/>
        <v>0</v>
      </c>
      <c r="J58" s="25"/>
      <c r="K58" s="26"/>
      <c r="L58" s="27">
        <f t="shared" si="18"/>
        <v>50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  <c r="AA58" s="9"/>
      <c r="AB58" s="9"/>
    </row>
    <row r="59" ht="15.75" hidden="1" customHeight="1" outlineLevel="1">
      <c r="A59" s="14">
        <v>46437.0</v>
      </c>
      <c r="B59" s="17">
        <v>0.1</v>
      </c>
      <c r="C59" s="18">
        <v>0.1</v>
      </c>
      <c r="D59" s="19">
        <v>0.05</v>
      </c>
      <c r="E59" s="20">
        <v>3.0</v>
      </c>
      <c r="F59" s="21">
        <v>1000.0</v>
      </c>
      <c r="G59" s="22">
        <f t="shared" si="22"/>
        <v>5</v>
      </c>
      <c r="H59" s="23">
        <f t="shared" si="23"/>
        <v>2.5</v>
      </c>
      <c r="I59" s="24">
        <f t="shared" si="24"/>
        <v>0</v>
      </c>
      <c r="J59" s="25"/>
      <c r="K59" s="26"/>
      <c r="L59" s="27">
        <f t="shared" si="18"/>
        <v>50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  <c r="AA59" s="9"/>
      <c r="AB59" s="9"/>
    </row>
    <row r="60" ht="15.75" hidden="1" customHeight="1" outlineLevel="1">
      <c r="A60" s="14"/>
      <c r="B60" s="17"/>
      <c r="C60" s="18"/>
      <c r="D60" s="19"/>
      <c r="E60" s="20"/>
      <c r="F60" s="21"/>
      <c r="G60" s="22"/>
      <c r="H60" s="23"/>
      <c r="I60" s="24"/>
      <c r="J60" s="25"/>
      <c r="K60" s="26"/>
      <c r="L60" s="27">
        <f t="shared" si="18"/>
        <v>50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  <c r="AA60" s="9"/>
      <c r="AB60" s="9"/>
    </row>
    <row r="61" ht="15.75" hidden="1" customHeight="1" outlineLevel="1">
      <c r="A61" s="14"/>
      <c r="B61" s="17"/>
      <c r="C61" s="18"/>
      <c r="D61" s="19"/>
      <c r="E61" s="20"/>
      <c r="F61" s="21"/>
      <c r="G61" s="22"/>
      <c r="H61" s="23"/>
      <c r="I61" s="24"/>
      <c r="J61" s="25"/>
      <c r="K61" s="26"/>
      <c r="L61" s="27">
        <f t="shared" si="18"/>
        <v>50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  <c r="AA61" s="9"/>
      <c r="AB61" s="9"/>
    </row>
    <row r="62" ht="15.75" hidden="1" customHeight="1" outlineLevel="1">
      <c r="A62" s="14">
        <v>46440.0</v>
      </c>
      <c r="B62" s="17">
        <v>0.1</v>
      </c>
      <c r="C62" s="18">
        <v>0.1</v>
      </c>
      <c r="D62" s="19">
        <v>0.05</v>
      </c>
      <c r="E62" s="20">
        <v>3.0</v>
      </c>
      <c r="F62" s="21">
        <v>1000.0</v>
      </c>
      <c r="G62" s="22">
        <f t="shared" ref="G62:G66" si="25">L61*C62</f>
        <v>5</v>
      </c>
      <c r="H62" s="23">
        <f t="shared" ref="H62:H66" si="26">L61*D62</f>
        <v>2.5</v>
      </c>
      <c r="I62" s="24">
        <f t="shared" ref="I62:I66" si="27">(J62/L61)*100</f>
        <v>0</v>
      </c>
      <c r="J62" s="25"/>
      <c r="K62" s="26"/>
      <c r="L62" s="27">
        <f t="shared" si="18"/>
        <v>50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  <c r="AA62" s="9"/>
      <c r="AB62" s="9"/>
    </row>
    <row r="63" ht="15.75" hidden="1" customHeight="1" outlineLevel="1">
      <c r="A63" s="14">
        <v>46441.0</v>
      </c>
      <c r="B63" s="17">
        <v>0.1</v>
      </c>
      <c r="C63" s="18">
        <v>0.1</v>
      </c>
      <c r="D63" s="19">
        <v>0.05</v>
      </c>
      <c r="E63" s="20">
        <v>3.0</v>
      </c>
      <c r="F63" s="21">
        <v>1000.0</v>
      </c>
      <c r="G63" s="22">
        <f t="shared" si="25"/>
        <v>5</v>
      </c>
      <c r="H63" s="23">
        <f t="shared" si="26"/>
        <v>2.5</v>
      </c>
      <c r="I63" s="24">
        <f t="shared" si="27"/>
        <v>0</v>
      </c>
      <c r="J63" s="25"/>
      <c r="K63" s="26"/>
      <c r="L63" s="27">
        <f t="shared" si="18"/>
        <v>50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  <c r="AA63" s="9"/>
      <c r="AB63" s="9"/>
    </row>
    <row r="64" ht="15.75" hidden="1" customHeight="1" outlineLevel="1">
      <c r="A64" s="14">
        <v>46442.0</v>
      </c>
      <c r="B64" s="17">
        <v>0.1</v>
      </c>
      <c r="C64" s="18">
        <v>0.1</v>
      </c>
      <c r="D64" s="19">
        <v>0.05</v>
      </c>
      <c r="E64" s="20">
        <v>3.0</v>
      </c>
      <c r="F64" s="21">
        <v>1000.0</v>
      </c>
      <c r="G64" s="22">
        <f t="shared" si="25"/>
        <v>5</v>
      </c>
      <c r="H64" s="23">
        <f t="shared" si="26"/>
        <v>2.5</v>
      </c>
      <c r="I64" s="24">
        <f t="shared" si="27"/>
        <v>0</v>
      </c>
      <c r="J64" s="25"/>
      <c r="K64" s="26"/>
      <c r="L64" s="27">
        <f t="shared" si="18"/>
        <v>50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  <c r="AA64" s="9"/>
      <c r="AB64" s="9"/>
    </row>
    <row r="65" ht="15.75" hidden="1" customHeight="1" outlineLevel="1">
      <c r="A65" s="14">
        <v>46443.0</v>
      </c>
      <c r="B65" s="17">
        <v>0.1</v>
      </c>
      <c r="C65" s="18">
        <v>0.1</v>
      </c>
      <c r="D65" s="19">
        <v>0.05</v>
      </c>
      <c r="E65" s="20">
        <v>3.0</v>
      </c>
      <c r="F65" s="21">
        <v>1000.0</v>
      </c>
      <c r="G65" s="22">
        <f t="shared" si="25"/>
        <v>5</v>
      </c>
      <c r="H65" s="23">
        <f t="shared" si="26"/>
        <v>2.5</v>
      </c>
      <c r="I65" s="24">
        <f t="shared" si="27"/>
        <v>0</v>
      </c>
      <c r="J65" s="25"/>
      <c r="K65" s="26"/>
      <c r="L65" s="27">
        <f t="shared" si="18"/>
        <v>50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  <c r="AA65" s="9"/>
      <c r="AB65" s="9"/>
    </row>
    <row r="66" ht="15.75" hidden="1" customHeight="1" outlineLevel="1">
      <c r="A66" s="14">
        <v>46444.0</v>
      </c>
      <c r="B66" s="17">
        <v>0.1</v>
      </c>
      <c r="C66" s="18">
        <v>0.1</v>
      </c>
      <c r="D66" s="19">
        <v>0.05</v>
      </c>
      <c r="E66" s="20">
        <v>3.0</v>
      </c>
      <c r="F66" s="21">
        <v>1000.0</v>
      </c>
      <c r="G66" s="22">
        <f t="shared" si="25"/>
        <v>5</v>
      </c>
      <c r="H66" s="23">
        <f t="shared" si="26"/>
        <v>2.5</v>
      </c>
      <c r="I66" s="24">
        <f t="shared" si="27"/>
        <v>0</v>
      </c>
      <c r="J66" s="25"/>
      <c r="K66" s="26"/>
      <c r="L66" s="27">
        <f t="shared" si="18"/>
        <v>50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  <c r="AA66" s="9"/>
      <c r="AB66" s="9"/>
    </row>
    <row r="67" ht="15.75" hidden="1" customHeight="1" outlineLevel="1">
      <c r="A67" s="14"/>
      <c r="B67" s="17"/>
      <c r="C67" s="18"/>
      <c r="D67" s="19"/>
      <c r="E67" s="20"/>
      <c r="F67" s="21"/>
      <c r="G67" s="22"/>
      <c r="H67" s="23"/>
      <c r="I67" s="24"/>
      <c r="J67" s="25"/>
      <c r="K67" s="26"/>
      <c r="L67" s="27">
        <f t="shared" si="18"/>
        <v>50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  <c r="AA67" s="9"/>
      <c r="AB67" s="9"/>
    </row>
    <row r="68" ht="15.75" hidden="1" customHeight="1" outlineLevel="1">
      <c r="A68" s="14"/>
      <c r="B68" s="17"/>
      <c r="C68" s="18"/>
      <c r="D68" s="19"/>
      <c r="E68" s="20"/>
      <c r="F68" s="21"/>
      <c r="G68" s="22"/>
      <c r="H68" s="23"/>
      <c r="I68" s="24"/>
      <c r="J68" s="25"/>
      <c r="K68" s="26"/>
      <c r="L68" s="27">
        <f t="shared" si="18"/>
        <v>50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  <c r="AA68" s="9"/>
      <c r="AB68" s="9"/>
    </row>
    <row r="69" ht="15.75" hidden="1" customHeight="1" outlineLevel="1">
      <c r="A69" s="28" t="s">
        <v>18</v>
      </c>
      <c r="C69" s="29">
        <f>SUM(C41:C68)</f>
        <v>2</v>
      </c>
      <c r="D69" s="30"/>
      <c r="E69" s="30"/>
      <c r="F69" s="30"/>
      <c r="G69" s="30"/>
      <c r="H69" s="30"/>
      <c r="I69" s="31">
        <f t="shared" ref="I69:K69" si="28">SUM(I41:I68)</f>
        <v>0</v>
      </c>
      <c r="J69" s="32">
        <f t="shared" si="28"/>
        <v>0</v>
      </c>
      <c r="K69" s="30">
        <f t="shared" si="28"/>
        <v>0</v>
      </c>
      <c r="L69" s="32">
        <f>L68</f>
        <v>50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  <c r="AA69" s="9"/>
      <c r="AB69" s="9"/>
    </row>
    <row r="70" ht="15.75" customHeight="1">
      <c r="A70" s="38"/>
      <c r="B70" s="35"/>
      <c r="C70" s="35"/>
      <c r="D70" s="35"/>
      <c r="E70" s="35"/>
      <c r="F70" s="35"/>
      <c r="G70" s="35"/>
      <c r="H70" s="35"/>
      <c r="I70" s="35"/>
      <c r="J70" s="35"/>
      <c r="K70" s="37">
        <f>SUM(K41:K68)</f>
        <v>0</v>
      </c>
      <c r="L70" s="35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  <c r="AA70" s="9"/>
      <c r="AB70" s="9"/>
    </row>
    <row r="71" ht="15.75" customHeight="1" collapsed="1">
      <c r="A71" s="1" t="s">
        <v>21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  <c r="AA71" s="9"/>
      <c r="AB71" s="9"/>
    </row>
    <row r="72" ht="15.75" hidden="1" customHeight="1" outlineLevel="1">
      <c r="A72" s="14" t="s">
        <v>6</v>
      </c>
      <c r="B72" s="1" t="s">
        <v>7</v>
      </c>
      <c r="C72" s="1" t="s">
        <v>8</v>
      </c>
      <c r="D72" s="15" t="s">
        <v>9</v>
      </c>
      <c r="E72" s="15" t="s">
        <v>10</v>
      </c>
      <c r="F72" s="15" t="s">
        <v>11</v>
      </c>
      <c r="G72" s="16" t="s">
        <v>12</v>
      </c>
      <c r="H72" s="15" t="s">
        <v>13</v>
      </c>
      <c r="I72" s="1" t="s">
        <v>14</v>
      </c>
      <c r="J72" s="17" t="s">
        <v>15</v>
      </c>
      <c r="K72" s="1" t="s">
        <v>16</v>
      </c>
      <c r="L72" s="1" t="s">
        <v>17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/>
      <c r="AA72" s="9"/>
      <c r="AB72" s="9"/>
    </row>
    <row r="73" ht="15.75" hidden="1" customHeight="1" outlineLevel="1">
      <c r="A73" s="14">
        <v>46447.0</v>
      </c>
      <c r="B73" s="17">
        <v>0.1</v>
      </c>
      <c r="C73" s="18">
        <v>0.1</v>
      </c>
      <c r="D73" s="19">
        <v>0.05</v>
      </c>
      <c r="E73" s="20">
        <v>3.0</v>
      </c>
      <c r="F73" s="21">
        <v>1000.0</v>
      </c>
      <c r="G73" s="22">
        <f>L69*C73</f>
        <v>5</v>
      </c>
      <c r="H73" s="23">
        <f>L69*D73</f>
        <v>2.5</v>
      </c>
      <c r="I73" s="24">
        <f>(J73/L69)*100</f>
        <v>0</v>
      </c>
      <c r="J73" s="25"/>
      <c r="K73" s="26"/>
      <c r="L73" s="27">
        <f>(L69+J73)-K73</f>
        <v>50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"/>
      <c r="AA73" s="9"/>
      <c r="AB73" s="9"/>
    </row>
    <row r="74" ht="15.75" hidden="1" customHeight="1" outlineLevel="1">
      <c r="A74" s="14">
        <v>46448.0</v>
      </c>
      <c r="B74" s="17">
        <v>0.1</v>
      </c>
      <c r="C74" s="18">
        <v>0.1</v>
      </c>
      <c r="D74" s="19">
        <v>0.05</v>
      </c>
      <c r="E74" s="20">
        <v>3.0</v>
      </c>
      <c r="F74" s="21">
        <v>1000.0</v>
      </c>
      <c r="G74" s="22">
        <f t="shared" ref="G74:G103" si="29">L73*C74</f>
        <v>5</v>
      </c>
      <c r="H74" s="23">
        <f t="shared" ref="H74:H103" si="30">L73*D74</f>
        <v>2.5</v>
      </c>
      <c r="I74" s="24">
        <f t="shared" ref="I74:I103" si="31">(J74/L73)*100</f>
        <v>0</v>
      </c>
      <c r="J74" s="25"/>
      <c r="K74" s="26"/>
      <c r="L74" s="27">
        <f t="shared" ref="L74:L103" si="32">(L73+J74)-K74</f>
        <v>50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  <c r="AA74" s="9"/>
      <c r="AB74" s="9"/>
    </row>
    <row r="75" ht="15.75" hidden="1" customHeight="1" outlineLevel="1">
      <c r="A75" s="14">
        <v>46449.0</v>
      </c>
      <c r="B75" s="17">
        <v>0.1</v>
      </c>
      <c r="C75" s="18">
        <v>0.1</v>
      </c>
      <c r="D75" s="19">
        <v>0.05</v>
      </c>
      <c r="E75" s="20">
        <v>3.0</v>
      </c>
      <c r="F75" s="21">
        <v>1000.0</v>
      </c>
      <c r="G75" s="22">
        <f t="shared" si="29"/>
        <v>5</v>
      </c>
      <c r="H75" s="23">
        <f t="shared" si="30"/>
        <v>2.5</v>
      </c>
      <c r="I75" s="24">
        <f t="shared" si="31"/>
        <v>0</v>
      </c>
      <c r="J75" s="25"/>
      <c r="K75" s="26"/>
      <c r="L75" s="27">
        <f t="shared" si="32"/>
        <v>50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  <c r="AA75" s="9"/>
      <c r="AB75" s="9"/>
    </row>
    <row r="76" ht="15.75" hidden="1" customHeight="1" outlineLevel="1">
      <c r="A76" s="14">
        <v>46450.0</v>
      </c>
      <c r="B76" s="17">
        <v>0.1</v>
      </c>
      <c r="C76" s="18">
        <v>0.1</v>
      </c>
      <c r="D76" s="19">
        <v>0.05</v>
      </c>
      <c r="E76" s="20">
        <v>3.0</v>
      </c>
      <c r="F76" s="21">
        <v>1000.0</v>
      </c>
      <c r="G76" s="22">
        <f t="shared" si="29"/>
        <v>5</v>
      </c>
      <c r="H76" s="23">
        <f t="shared" si="30"/>
        <v>2.5</v>
      </c>
      <c r="I76" s="24">
        <f t="shared" si="31"/>
        <v>0</v>
      </c>
      <c r="J76" s="25"/>
      <c r="K76" s="26"/>
      <c r="L76" s="27">
        <f t="shared" si="32"/>
        <v>50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  <c r="AA76" s="9"/>
      <c r="AB76" s="9"/>
    </row>
    <row r="77" ht="15.75" hidden="1" customHeight="1" outlineLevel="1">
      <c r="A77" s="14">
        <v>46451.0</v>
      </c>
      <c r="B77" s="17">
        <v>0.1</v>
      </c>
      <c r="C77" s="18">
        <v>0.1</v>
      </c>
      <c r="D77" s="19">
        <v>0.05</v>
      </c>
      <c r="E77" s="20">
        <v>3.0</v>
      </c>
      <c r="F77" s="21">
        <v>1000.0</v>
      </c>
      <c r="G77" s="22">
        <f t="shared" si="29"/>
        <v>5</v>
      </c>
      <c r="H77" s="23">
        <f t="shared" si="30"/>
        <v>2.5</v>
      </c>
      <c r="I77" s="24">
        <f t="shared" si="31"/>
        <v>0</v>
      </c>
      <c r="J77" s="25"/>
      <c r="K77" s="26"/>
      <c r="L77" s="27">
        <f t="shared" si="32"/>
        <v>50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  <c r="AA77" s="9"/>
      <c r="AB77" s="9"/>
    </row>
    <row r="78" ht="15.75" hidden="1" customHeight="1" outlineLevel="1">
      <c r="A78" s="14">
        <v>46452.0</v>
      </c>
      <c r="B78" s="17">
        <v>0.1</v>
      </c>
      <c r="C78" s="18">
        <v>0.1</v>
      </c>
      <c r="D78" s="19">
        <v>0.05</v>
      </c>
      <c r="E78" s="20">
        <v>3.0</v>
      </c>
      <c r="F78" s="21">
        <v>1000.0</v>
      </c>
      <c r="G78" s="22">
        <f t="shared" si="29"/>
        <v>5</v>
      </c>
      <c r="H78" s="23">
        <f t="shared" si="30"/>
        <v>2.5</v>
      </c>
      <c r="I78" s="24">
        <f t="shared" si="31"/>
        <v>0</v>
      </c>
      <c r="J78" s="25"/>
      <c r="K78" s="26"/>
      <c r="L78" s="27">
        <f t="shared" si="32"/>
        <v>50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  <c r="AA78" s="9"/>
      <c r="AB78" s="9"/>
    </row>
    <row r="79" ht="15.75" hidden="1" customHeight="1" outlineLevel="1">
      <c r="A79" s="14">
        <v>46453.0</v>
      </c>
      <c r="B79" s="17">
        <v>0.1</v>
      </c>
      <c r="C79" s="18">
        <v>0.1</v>
      </c>
      <c r="D79" s="19">
        <v>0.05</v>
      </c>
      <c r="E79" s="20">
        <v>3.0</v>
      </c>
      <c r="F79" s="21">
        <v>1000.0</v>
      </c>
      <c r="G79" s="22">
        <f t="shared" si="29"/>
        <v>5</v>
      </c>
      <c r="H79" s="23">
        <f t="shared" si="30"/>
        <v>2.5</v>
      </c>
      <c r="I79" s="24">
        <f t="shared" si="31"/>
        <v>0</v>
      </c>
      <c r="J79" s="25"/>
      <c r="K79" s="26"/>
      <c r="L79" s="27">
        <f t="shared" si="32"/>
        <v>50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  <c r="AA79" s="9"/>
      <c r="AB79" s="9"/>
    </row>
    <row r="80" ht="15.75" hidden="1" customHeight="1" outlineLevel="1">
      <c r="A80" s="14">
        <v>46454.0</v>
      </c>
      <c r="B80" s="17">
        <v>0.1</v>
      </c>
      <c r="C80" s="18">
        <v>0.1</v>
      </c>
      <c r="D80" s="19">
        <v>0.05</v>
      </c>
      <c r="E80" s="20">
        <v>3.0</v>
      </c>
      <c r="F80" s="21">
        <v>1000.0</v>
      </c>
      <c r="G80" s="22">
        <f t="shared" si="29"/>
        <v>5</v>
      </c>
      <c r="H80" s="23">
        <f t="shared" si="30"/>
        <v>2.5</v>
      </c>
      <c r="I80" s="24">
        <f t="shared" si="31"/>
        <v>0</v>
      </c>
      <c r="J80" s="25"/>
      <c r="K80" s="26"/>
      <c r="L80" s="27">
        <f t="shared" si="32"/>
        <v>50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  <c r="AA80" s="9"/>
      <c r="AB80" s="9"/>
    </row>
    <row r="81" ht="15.75" hidden="1" customHeight="1" outlineLevel="1">
      <c r="A81" s="14">
        <v>46455.0</v>
      </c>
      <c r="B81" s="17">
        <v>0.1</v>
      </c>
      <c r="C81" s="18">
        <v>0.1</v>
      </c>
      <c r="D81" s="19">
        <v>0.05</v>
      </c>
      <c r="E81" s="20">
        <v>3.0</v>
      </c>
      <c r="F81" s="21">
        <v>1000.0</v>
      </c>
      <c r="G81" s="22">
        <f t="shared" si="29"/>
        <v>5</v>
      </c>
      <c r="H81" s="23">
        <f t="shared" si="30"/>
        <v>2.5</v>
      </c>
      <c r="I81" s="24">
        <f t="shared" si="31"/>
        <v>0</v>
      </c>
      <c r="J81" s="25"/>
      <c r="K81" s="26"/>
      <c r="L81" s="27">
        <f t="shared" si="32"/>
        <v>50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  <c r="AA81" s="9"/>
      <c r="AB81" s="9"/>
    </row>
    <row r="82" ht="15.75" hidden="1" customHeight="1" outlineLevel="1">
      <c r="A82" s="14">
        <v>46456.0</v>
      </c>
      <c r="B82" s="17">
        <v>0.1</v>
      </c>
      <c r="C82" s="18">
        <v>0.1</v>
      </c>
      <c r="D82" s="19">
        <v>0.05</v>
      </c>
      <c r="E82" s="20">
        <v>3.0</v>
      </c>
      <c r="F82" s="21">
        <v>1000.0</v>
      </c>
      <c r="G82" s="22">
        <f t="shared" si="29"/>
        <v>5</v>
      </c>
      <c r="H82" s="23">
        <f t="shared" si="30"/>
        <v>2.5</v>
      </c>
      <c r="I82" s="24">
        <f t="shared" si="31"/>
        <v>0</v>
      </c>
      <c r="J82" s="25"/>
      <c r="K82" s="26"/>
      <c r="L82" s="27">
        <f t="shared" si="32"/>
        <v>50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  <c r="AA82" s="9"/>
      <c r="AB82" s="9"/>
    </row>
    <row r="83" ht="15.75" hidden="1" customHeight="1" outlineLevel="1">
      <c r="A83" s="14">
        <v>46457.0</v>
      </c>
      <c r="B83" s="17">
        <v>0.1</v>
      </c>
      <c r="C83" s="18">
        <v>0.1</v>
      </c>
      <c r="D83" s="19">
        <v>0.05</v>
      </c>
      <c r="E83" s="20">
        <v>3.0</v>
      </c>
      <c r="F83" s="21">
        <v>1000.0</v>
      </c>
      <c r="G83" s="22">
        <f t="shared" si="29"/>
        <v>5</v>
      </c>
      <c r="H83" s="23">
        <f t="shared" si="30"/>
        <v>2.5</v>
      </c>
      <c r="I83" s="24">
        <f t="shared" si="31"/>
        <v>0</v>
      </c>
      <c r="J83" s="25"/>
      <c r="K83" s="26"/>
      <c r="L83" s="27">
        <f t="shared" si="32"/>
        <v>50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  <c r="AA83" s="9"/>
      <c r="AB83" s="9"/>
    </row>
    <row r="84" ht="15.75" hidden="1" customHeight="1" outlineLevel="1">
      <c r="A84" s="14">
        <v>46458.0</v>
      </c>
      <c r="B84" s="17">
        <v>0.1</v>
      </c>
      <c r="C84" s="18">
        <v>0.1</v>
      </c>
      <c r="D84" s="19">
        <v>0.05</v>
      </c>
      <c r="E84" s="20">
        <v>3.0</v>
      </c>
      <c r="F84" s="21">
        <v>1000.0</v>
      </c>
      <c r="G84" s="22">
        <f t="shared" si="29"/>
        <v>5</v>
      </c>
      <c r="H84" s="23">
        <f t="shared" si="30"/>
        <v>2.5</v>
      </c>
      <c r="I84" s="24">
        <f t="shared" si="31"/>
        <v>0</v>
      </c>
      <c r="J84" s="25"/>
      <c r="K84" s="26"/>
      <c r="L84" s="27">
        <f t="shared" si="32"/>
        <v>50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  <c r="AA84" s="9"/>
      <c r="AB84" s="9"/>
    </row>
    <row r="85" ht="15.75" hidden="1" customHeight="1" outlineLevel="1">
      <c r="A85" s="14">
        <v>46459.0</v>
      </c>
      <c r="B85" s="17">
        <v>0.1</v>
      </c>
      <c r="C85" s="18">
        <v>0.1</v>
      </c>
      <c r="D85" s="19">
        <v>0.05</v>
      </c>
      <c r="E85" s="20">
        <v>3.0</v>
      </c>
      <c r="F85" s="21">
        <v>1000.0</v>
      </c>
      <c r="G85" s="22">
        <f t="shared" si="29"/>
        <v>5</v>
      </c>
      <c r="H85" s="23">
        <f t="shared" si="30"/>
        <v>2.5</v>
      </c>
      <c r="I85" s="24">
        <f t="shared" si="31"/>
        <v>0</v>
      </c>
      <c r="J85" s="25"/>
      <c r="K85" s="26"/>
      <c r="L85" s="27">
        <f t="shared" si="32"/>
        <v>50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  <c r="AA85" s="9"/>
      <c r="AB85" s="9"/>
    </row>
    <row r="86" ht="15.75" hidden="1" customHeight="1" outlineLevel="1">
      <c r="A86" s="14">
        <v>46460.0</v>
      </c>
      <c r="B86" s="17">
        <v>0.1</v>
      </c>
      <c r="C86" s="18">
        <v>0.1</v>
      </c>
      <c r="D86" s="19">
        <v>0.05</v>
      </c>
      <c r="E86" s="20">
        <v>3.0</v>
      </c>
      <c r="F86" s="21">
        <v>1000.0</v>
      </c>
      <c r="G86" s="22">
        <f t="shared" si="29"/>
        <v>5</v>
      </c>
      <c r="H86" s="23">
        <f t="shared" si="30"/>
        <v>2.5</v>
      </c>
      <c r="I86" s="24">
        <f t="shared" si="31"/>
        <v>0</v>
      </c>
      <c r="J86" s="25"/>
      <c r="K86" s="26"/>
      <c r="L86" s="27">
        <f t="shared" si="32"/>
        <v>50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  <c r="AA86" s="9"/>
      <c r="AB86" s="9"/>
    </row>
    <row r="87" ht="15.75" hidden="1" customHeight="1" outlineLevel="1">
      <c r="A87" s="14">
        <v>46461.0</v>
      </c>
      <c r="B87" s="17">
        <v>0.1</v>
      </c>
      <c r="C87" s="18">
        <v>0.1</v>
      </c>
      <c r="D87" s="19">
        <v>0.05</v>
      </c>
      <c r="E87" s="20">
        <v>3.0</v>
      </c>
      <c r="F87" s="21">
        <v>1000.0</v>
      </c>
      <c r="G87" s="22">
        <f t="shared" si="29"/>
        <v>5</v>
      </c>
      <c r="H87" s="23">
        <f t="shared" si="30"/>
        <v>2.5</v>
      </c>
      <c r="I87" s="24">
        <f t="shared" si="31"/>
        <v>0</v>
      </c>
      <c r="J87" s="25"/>
      <c r="K87" s="26"/>
      <c r="L87" s="27">
        <f t="shared" si="32"/>
        <v>50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  <c r="AA87" s="9"/>
      <c r="AB87" s="9"/>
    </row>
    <row r="88" ht="15.75" hidden="1" customHeight="1" outlineLevel="1">
      <c r="A88" s="14">
        <v>46462.0</v>
      </c>
      <c r="B88" s="17">
        <v>0.1</v>
      </c>
      <c r="C88" s="18">
        <v>0.1</v>
      </c>
      <c r="D88" s="19">
        <v>0.05</v>
      </c>
      <c r="E88" s="20">
        <v>3.0</v>
      </c>
      <c r="F88" s="21">
        <v>1000.0</v>
      </c>
      <c r="G88" s="22">
        <f t="shared" si="29"/>
        <v>5</v>
      </c>
      <c r="H88" s="23">
        <f t="shared" si="30"/>
        <v>2.5</v>
      </c>
      <c r="I88" s="24">
        <f t="shared" si="31"/>
        <v>0</v>
      </c>
      <c r="J88" s="25"/>
      <c r="K88" s="26"/>
      <c r="L88" s="27">
        <f t="shared" si="32"/>
        <v>50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  <c r="AA88" s="9"/>
      <c r="AB88" s="9"/>
    </row>
    <row r="89" ht="15.75" hidden="1" customHeight="1" outlineLevel="1">
      <c r="A89" s="14">
        <v>46463.0</v>
      </c>
      <c r="B89" s="17">
        <v>0.1</v>
      </c>
      <c r="C89" s="18">
        <v>0.1</v>
      </c>
      <c r="D89" s="19">
        <v>0.05</v>
      </c>
      <c r="E89" s="20">
        <v>3.0</v>
      </c>
      <c r="F89" s="21">
        <v>1000.0</v>
      </c>
      <c r="G89" s="22">
        <f t="shared" si="29"/>
        <v>5</v>
      </c>
      <c r="H89" s="23">
        <f t="shared" si="30"/>
        <v>2.5</v>
      </c>
      <c r="I89" s="24">
        <f t="shared" si="31"/>
        <v>0</v>
      </c>
      <c r="J89" s="25"/>
      <c r="K89" s="26"/>
      <c r="L89" s="27">
        <f t="shared" si="32"/>
        <v>50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/>
      <c r="AA89" s="9"/>
      <c r="AB89" s="9"/>
    </row>
    <row r="90" ht="15.75" hidden="1" customHeight="1" outlineLevel="1">
      <c r="A90" s="14">
        <v>46464.0</v>
      </c>
      <c r="B90" s="17">
        <v>0.1</v>
      </c>
      <c r="C90" s="18">
        <v>0.1</v>
      </c>
      <c r="D90" s="19">
        <v>0.05</v>
      </c>
      <c r="E90" s="20">
        <v>3.0</v>
      </c>
      <c r="F90" s="21">
        <v>1000.0</v>
      </c>
      <c r="G90" s="22">
        <f t="shared" si="29"/>
        <v>5</v>
      </c>
      <c r="H90" s="23">
        <f t="shared" si="30"/>
        <v>2.5</v>
      </c>
      <c r="I90" s="24">
        <f t="shared" si="31"/>
        <v>0</v>
      </c>
      <c r="J90" s="25"/>
      <c r="K90" s="26"/>
      <c r="L90" s="27">
        <f t="shared" si="32"/>
        <v>50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  <c r="AA90" s="9"/>
      <c r="AB90" s="9"/>
    </row>
    <row r="91" ht="15.75" hidden="1" customHeight="1" outlineLevel="1">
      <c r="A91" s="14">
        <v>46465.0</v>
      </c>
      <c r="B91" s="17">
        <v>0.1</v>
      </c>
      <c r="C91" s="18">
        <v>0.1</v>
      </c>
      <c r="D91" s="19">
        <v>0.05</v>
      </c>
      <c r="E91" s="20">
        <v>3.0</v>
      </c>
      <c r="F91" s="21">
        <v>1000.0</v>
      </c>
      <c r="G91" s="22">
        <f t="shared" si="29"/>
        <v>5</v>
      </c>
      <c r="H91" s="23">
        <f t="shared" si="30"/>
        <v>2.5</v>
      </c>
      <c r="I91" s="24">
        <f t="shared" si="31"/>
        <v>0</v>
      </c>
      <c r="J91" s="25"/>
      <c r="K91" s="26"/>
      <c r="L91" s="27">
        <f t="shared" si="32"/>
        <v>50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  <c r="AA91" s="9"/>
      <c r="AB91" s="9"/>
    </row>
    <row r="92" ht="15.75" hidden="1" customHeight="1" outlineLevel="1">
      <c r="A92" s="14">
        <v>46466.0</v>
      </c>
      <c r="B92" s="17">
        <v>0.1</v>
      </c>
      <c r="C92" s="18">
        <v>0.1</v>
      </c>
      <c r="D92" s="19">
        <v>0.05</v>
      </c>
      <c r="E92" s="20">
        <v>3.0</v>
      </c>
      <c r="F92" s="21">
        <v>1000.0</v>
      </c>
      <c r="G92" s="22">
        <f t="shared" si="29"/>
        <v>5</v>
      </c>
      <c r="H92" s="23">
        <f t="shared" si="30"/>
        <v>2.5</v>
      </c>
      <c r="I92" s="24">
        <f t="shared" si="31"/>
        <v>0</v>
      </c>
      <c r="J92" s="25"/>
      <c r="K92" s="26"/>
      <c r="L92" s="27">
        <f t="shared" si="32"/>
        <v>50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  <c r="AA92" s="9"/>
      <c r="AB92" s="9"/>
    </row>
    <row r="93" ht="15.75" hidden="1" customHeight="1" outlineLevel="1">
      <c r="A93" s="14">
        <v>46467.0</v>
      </c>
      <c r="B93" s="17">
        <v>0.1</v>
      </c>
      <c r="C93" s="18">
        <v>0.1</v>
      </c>
      <c r="D93" s="19">
        <v>0.05</v>
      </c>
      <c r="E93" s="20">
        <v>3.0</v>
      </c>
      <c r="F93" s="21">
        <v>1000.0</v>
      </c>
      <c r="G93" s="22">
        <f t="shared" si="29"/>
        <v>5</v>
      </c>
      <c r="H93" s="23">
        <f t="shared" si="30"/>
        <v>2.5</v>
      </c>
      <c r="I93" s="24">
        <f t="shared" si="31"/>
        <v>0</v>
      </c>
      <c r="J93" s="25"/>
      <c r="K93" s="26"/>
      <c r="L93" s="27">
        <f t="shared" si="32"/>
        <v>50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  <c r="AA93" s="9"/>
      <c r="AB93" s="9"/>
    </row>
    <row r="94" ht="15.75" hidden="1" customHeight="1" outlineLevel="1">
      <c r="A94" s="14">
        <v>46468.0</v>
      </c>
      <c r="B94" s="17">
        <v>0.1</v>
      </c>
      <c r="C94" s="18">
        <v>0.1</v>
      </c>
      <c r="D94" s="19">
        <v>0.05</v>
      </c>
      <c r="E94" s="20">
        <v>3.0</v>
      </c>
      <c r="F94" s="21">
        <v>1000.0</v>
      </c>
      <c r="G94" s="22">
        <f t="shared" si="29"/>
        <v>5</v>
      </c>
      <c r="H94" s="23">
        <f t="shared" si="30"/>
        <v>2.5</v>
      </c>
      <c r="I94" s="24">
        <f t="shared" si="31"/>
        <v>0</v>
      </c>
      <c r="J94" s="25"/>
      <c r="K94" s="26"/>
      <c r="L94" s="27">
        <f t="shared" si="32"/>
        <v>50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"/>
      <c r="AA94" s="9"/>
      <c r="AB94" s="9"/>
    </row>
    <row r="95" ht="15.75" hidden="1" customHeight="1" outlineLevel="1">
      <c r="A95" s="14">
        <v>46469.0</v>
      </c>
      <c r="B95" s="17">
        <v>0.1</v>
      </c>
      <c r="C95" s="18">
        <v>0.1</v>
      </c>
      <c r="D95" s="19">
        <v>0.05</v>
      </c>
      <c r="E95" s="20">
        <v>3.0</v>
      </c>
      <c r="F95" s="21">
        <v>1000.0</v>
      </c>
      <c r="G95" s="22">
        <f t="shared" si="29"/>
        <v>5</v>
      </c>
      <c r="H95" s="23">
        <f t="shared" si="30"/>
        <v>2.5</v>
      </c>
      <c r="I95" s="24">
        <f t="shared" si="31"/>
        <v>0</v>
      </c>
      <c r="J95" s="25"/>
      <c r="K95" s="26"/>
      <c r="L95" s="27">
        <f t="shared" si="32"/>
        <v>50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  <c r="AA95" s="9"/>
      <c r="AB95" s="9"/>
    </row>
    <row r="96" ht="15.75" hidden="1" customHeight="1" outlineLevel="1">
      <c r="A96" s="14">
        <v>46470.0</v>
      </c>
      <c r="B96" s="17">
        <v>0.1</v>
      </c>
      <c r="C96" s="18">
        <v>0.1</v>
      </c>
      <c r="D96" s="19">
        <v>0.05</v>
      </c>
      <c r="E96" s="20">
        <v>3.0</v>
      </c>
      <c r="F96" s="21">
        <v>1000.0</v>
      </c>
      <c r="G96" s="22">
        <f t="shared" si="29"/>
        <v>5</v>
      </c>
      <c r="H96" s="23">
        <f t="shared" si="30"/>
        <v>2.5</v>
      </c>
      <c r="I96" s="24">
        <f t="shared" si="31"/>
        <v>0</v>
      </c>
      <c r="J96" s="25"/>
      <c r="K96" s="26"/>
      <c r="L96" s="27">
        <f t="shared" si="32"/>
        <v>50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/>
      <c r="AA96" s="9"/>
      <c r="AB96" s="9"/>
    </row>
    <row r="97" ht="15.75" hidden="1" customHeight="1" outlineLevel="1">
      <c r="A97" s="14">
        <v>46471.0</v>
      </c>
      <c r="B97" s="17">
        <v>0.1</v>
      </c>
      <c r="C97" s="18">
        <v>0.1</v>
      </c>
      <c r="D97" s="19">
        <v>0.05</v>
      </c>
      <c r="E97" s="20">
        <v>3.0</v>
      </c>
      <c r="F97" s="21">
        <v>1000.0</v>
      </c>
      <c r="G97" s="22">
        <f t="shared" si="29"/>
        <v>5</v>
      </c>
      <c r="H97" s="23">
        <f t="shared" si="30"/>
        <v>2.5</v>
      </c>
      <c r="I97" s="24">
        <f t="shared" si="31"/>
        <v>0</v>
      </c>
      <c r="J97" s="25"/>
      <c r="K97" s="26"/>
      <c r="L97" s="27">
        <f t="shared" si="32"/>
        <v>50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  <c r="AA97" s="9"/>
      <c r="AB97" s="9"/>
    </row>
    <row r="98" ht="15.75" hidden="1" customHeight="1" outlineLevel="1">
      <c r="A98" s="14">
        <v>46472.0</v>
      </c>
      <c r="B98" s="17">
        <v>0.1</v>
      </c>
      <c r="C98" s="18">
        <v>0.1</v>
      </c>
      <c r="D98" s="19">
        <v>0.05</v>
      </c>
      <c r="E98" s="20">
        <v>3.0</v>
      </c>
      <c r="F98" s="21">
        <v>1000.0</v>
      </c>
      <c r="G98" s="22">
        <f t="shared" si="29"/>
        <v>5</v>
      </c>
      <c r="H98" s="23">
        <f t="shared" si="30"/>
        <v>2.5</v>
      </c>
      <c r="I98" s="24">
        <f t="shared" si="31"/>
        <v>0</v>
      </c>
      <c r="J98" s="25"/>
      <c r="K98" s="26"/>
      <c r="L98" s="27">
        <f t="shared" si="32"/>
        <v>50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  <c r="AA98" s="9"/>
      <c r="AB98" s="9"/>
    </row>
    <row r="99" ht="15.75" hidden="1" customHeight="1" outlineLevel="1">
      <c r="A99" s="14">
        <v>46473.0</v>
      </c>
      <c r="B99" s="17">
        <v>0.1</v>
      </c>
      <c r="C99" s="18">
        <v>0.1</v>
      </c>
      <c r="D99" s="19">
        <v>0.05</v>
      </c>
      <c r="E99" s="20">
        <v>3.0</v>
      </c>
      <c r="F99" s="21">
        <v>1000.0</v>
      </c>
      <c r="G99" s="22">
        <f t="shared" si="29"/>
        <v>5</v>
      </c>
      <c r="H99" s="23">
        <f t="shared" si="30"/>
        <v>2.5</v>
      </c>
      <c r="I99" s="24">
        <f t="shared" si="31"/>
        <v>0</v>
      </c>
      <c r="J99" s="25"/>
      <c r="K99" s="26"/>
      <c r="L99" s="27">
        <f t="shared" si="32"/>
        <v>50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  <c r="AA99" s="9"/>
      <c r="AB99" s="9"/>
    </row>
    <row r="100" ht="15.75" hidden="1" customHeight="1" outlineLevel="1">
      <c r="A100" s="14">
        <v>46474.0</v>
      </c>
      <c r="B100" s="17">
        <v>0.1</v>
      </c>
      <c r="C100" s="18">
        <v>0.1</v>
      </c>
      <c r="D100" s="19">
        <v>0.05</v>
      </c>
      <c r="E100" s="20">
        <v>3.0</v>
      </c>
      <c r="F100" s="21">
        <v>1000.0</v>
      </c>
      <c r="G100" s="22">
        <f t="shared" si="29"/>
        <v>5</v>
      </c>
      <c r="H100" s="23">
        <f t="shared" si="30"/>
        <v>2.5</v>
      </c>
      <c r="I100" s="24">
        <f t="shared" si="31"/>
        <v>0</v>
      </c>
      <c r="J100" s="25"/>
      <c r="K100" s="26"/>
      <c r="L100" s="27">
        <f t="shared" si="32"/>
        <v>50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  <c r="AA100" s="9"/>
      <c r="AB100" s="9"/>
    </row>
    <row r="101" ht="15.75" hidden="1" customHeight="1" outlineLevel="1">
      <c r="A101" s="14">
        <v>46475.0</v>
      </c>
      <c r="B101" s="17">
        <v>0.1</v>
      </c>
      <c r="C101" s="18">
        <v>0.1</v>
      </c>
      <c r="D101" s="19">
        <v>0.05</v>
      </c>
      <c r="E101" s="20">
        <v>3.0</v>
      </c>
      <c r="F101" s="21">
        <v>1000.0</v>
      </c>
      <c r="G101" s="22">
        <f t="shared" si="29"/>
        <v>5</v>
      </c>
      <c r="H101" s="23">
        <f t="shared" si="30"/>
        <v>2.5</v>
      </c>
      <c r="I101" s="24">
        <f t="shared" si="31"/>
        <v>0</v>
      </c>
      <c r="J101" s="25"/>
      <c r="K101" s="26"/>
      <c r="L101" s="27">
        <f t="shared" si="32"/>
        <v>50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  <c r="AA101" s="9"/>
      <c r="AB101" s="9"/>
    </row>
    <row r="102" ht="15.75" hidden="1" customHeight="1" outlineLevel="1">
      <c r="A102" s="14">
        <v>46476.0</v>
      </c>
      <c r="B102" s="17">
        <v>0.1</v>
      </c>
      <c r="C102" s="18">
        <v>0.1</v>
      </c>
      <c r="D102" s="19">
        <v>0.05</v>
      </c>
      <c r="E102" s="20">
        <v>3.0</v>
      </c>
      <c r="F102" s="21">
        <v>1000.0</v>
      </c>
      <c r="G102" s="22">
        <f t="shared" si="29"/>
        <v>5</v>
      </c>
      <c r="H102" s="23">
        <f t="shared" si="30"/>
        <v>2.5</v>
      </c>
      <c r="I102" s="24">
        <f t="shared" si="31"/>
        <v>0</v>
      </c>
      <c r="J102" s="25"/>
      <c r="K102" s="26"/>
      <c r="L102" s="27">
        <f t="shared" si="32"/>
        <v>50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  <c r="AA102" s="9"/>
      <c r="AB102" s="9"/>
    </row>
    <row r="103" ht="15.75" hidden="1" customHeight="1" outlineLevel="1">
      <c r="A103" s="14">
        <v>46477.0</v>
      </c>
      <c r="B103" s="17">
        <v>0.1</v>
      </c>
      <c r="C103" s="18">
        <v>0.1</v>
      </c>
      <c r="D103" s="19">
        <v>0.05</v>
      </c>
      <c r="E103" s="20">
        <v>3.0</v>
      </c>
      <c r="F103" s="21">
        <v>1000.0</v>
      </c>
      <c r="G103" s="22">
        <f t="shared" si="29"/>
        <v>5</v>
      </c>
      <c r="H103" s="23">
        <f t="shared" si="30"/>
        <v>2.5</v>
      </c>
      <c r="I103" s="24">
        <f t="shared" si="31"/>
        <v>0</v>
      </c>
      <c r="J103" s="25"/>
      <c r="K103" s="26"/>
      <c r="L103" s="27">
        <f t="shared" si="32"/>
        <v>50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  <c r="AA103" s="9"/>
      <c r="AB103" s="9"/>
    </row>
    <row r="104" ht="15.75" hidden="1" customHeight="1" outlineLevel="1">
      <c r="A104" s="28" t="s">
        <v>18</v>
      </c>
      <c r="C104" s="29">
        <f>SUM(C73:C103)</f>
        <v>3.1</v>
      </c>
      <c r="D104" s="30"/>
      <c r="E104" s="30"/>
      <c r="F104" s="30"/>
      <c r="G104" s="30"/>
      <c r="H104" s="30"/>
      <c r="I104" s="31">
        <f t="shared" ref="I104:K104" si="33">SUM(I73:I103)</f>
        <v>0</v>
      </c>
      <c r="J104" s="32">
        <f t="shared" si="33"/>
        <v>0</v>
      </c>
      <c r="K104" s="30">
        <f t="shared" si="33"/>
        <v>0</v>
      </c>
      <c r="L104" s="32">
        <f>L103</f>
        <v>50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  <c r="AA104" s="9"/>
      <c r="AB104" s="9"/>
    </row>
    <row r="105" ht="15.75" customHeight="1">
      <c r="A105" s="38"/>
      <c r="B105" s="35"/>
      <c r="C105" s="35"/>
      <c r="D105" s="35"/>
      <c r="E105" s="35"/>
      <c r="F105" s="35"/>
      <c r="G105" s="35"/>
      <c r="H105" s="35"/>
      <c r="I105" s="35"/>
      <c r="J105" s="35"/>
      <c r="K105" s="37">
        <f>SUM(K73:K103)</f>
        <v>0</v>
      </c>
      <c r="L105" s="35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  <c r="AA105" s="9"/>
      <c r="AB105" s="9"/>
    </row>
    <row r="106" ht="15.75" customHeight="1" collapsed="1">
      <c r="A106" s="1" t="s">
        <v>22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  <c r="AA106" s="9"/>
      <c r="AB106" s="9"/>
    </row>
    <row r="107" ht="15.75" hidden="1" customHeight="1" outlineLevel="1">
      <c r="A107" s="14" t="s">
        <v>6</v>
      </c>
      <c r="B107" s="1" t="s">
        <v>7</v>
      </c>
      <c r="C107" s="1" t="s">
        <v>8</v>
      </c>
      <c r="D107" s="15" t="s">
        <v>9</v>
      </c>
      <c r="E107" s="15" t="s">
        <v>10</v>
      </c>
      <c r="F107" s="15" t="s">
        <v>11</v>
      </c>
      <c r="G107" s="16" t="s">
        <v>12</v>
      </c>
      <c r="H107" s="15" t="s">
        <v>13</v>
      </c>
      <c r="I107" s="1" t="s">
        <v>14</v>
      </c>
      <c r="J107" s="17" t="s">
        <v>15</v>
      </c>
      <c r="K107" s="1" t="s">
        <v>16</v>
      </c>
      <c r="L107" s="1" t="s">
        <v>17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  <c r="AA107" s="9"/>
      <c r="AB107" s="9"/>
    </row>
    <row r="108" ht="15.75" hidden="1" customHeight="1" outlineLevel="1">
      <c r="A108" s="14">
        <v>46478.0</v>
      </c>
      <c r="B108" s="17">
        <f t="shared" ref="B108:B137" si="34">ROUND(AVERAGE((H108/1000)/E108), 2)</f>
        <v>0</v>
      </c>
      <c r="C108" s="18">
        <v>0.1</v>
      </c>
      <c r="D108" s="19">
        <v>0.05</v>
      </c>
      <c r="E108" s="20">
        <v>3.0</v>
      </c>
      <c r="F108" s="21" t="str">
        <f t="shared" ref="F108:F137" si="35">H108/B108</f>
        <v>#DIV/0!</v>
      </c>
      <c r="G108" s="22">
        <f>L104*C108</f>
        <v>5</v>
      </c>
      <c r="H108" s="23">
        <f>L104*D108</f>
        <v>2.5</v>
      </c>
      <c r="I108" s="24">
        <f>(J108/B103)*100</f>
        <v>0</v>
      </c>
      <c r="J108" s="25"/>
      <c r="K108" s="26"/>
      <c r="L108" s="27">
        <f>(L104+J108)-K108</f>
        <v>50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/>
      <c r="AA108" s="9"/>
      <c r="AB108" s="9"/>
    </row>
    <row r="109" ht="15.75" hidden="1" customHeight="1" outlineLevel="1">
      <c r="A109" s="14">
        <v>46479.0</v>
      </c>
      <c r="B109" s="17">
        <f t="shared" si="34"/>
        <v>0</v>
      </c>
      <c r="C109" s="18">
        <v>0.1</v>
      </c>
      <c r="D109" s="19">
        <v>0.05</v>
      </c>
      <c r="E109" s="20">
        <v>3.0</v>
      </c>
      <c r="F109" s="21" t="str">
        <f t="shared" si="35"/>
        <v>#DIV/0!</v>
      </c>
      <c r="G109" s="22">
        <f t="shared" ref="G109:G137" si="36">L108*C109</f>
        <v>5</v>
      </c>
      <c r="H109" s="23">
        <f t="shared" ref="H109:H137" si="37">L108*D109</f>
        <v>2.5</v>
      </c>
      <c r="I109" s="24">
        <f t="shared" ref="I109:I137" si="38">(J109/L108)*100</f>
        <v>0</v>
      </c>
      <c r="J109" s="25"/>
      <c r="K109" s="26"/>
      <c r="L109" s="27">
        <f t="shared" ref="L109:L137" si="39">(L108+J109)-K109</f>
        <v>50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  <c r="AA109" s="9"/>
      <c r="AB109" s="9"/>
    </row>
    <row r="110" ht="15.75" hidden="1" customHeight="1" outlineLevel="1">
      <c r="A110" s="14">
        <v>46480.0</v>
      </c>
      <c r="B110" s="17">
        <f t="shared" si="34"/>
        <v>0</v>
      </c>
      <c r="C110" s="18">
        <v>0.1</v>
      </c>
      <c r="D110" s="19">
        <v>0.05</v>
      </c>
      <c r="E110" s="20">
        <v>3.0</v>
      </c>
      <c r="F110" s="21" t="str">
        <f t="shared" si="35"/>
        <v>#DIV/0!</v>
      </c>
      <c r="G110" s="22">
        <f t="shared" si="36"/>
        <v>5</v>
      </c>
      <c r="H110" s="23">
        <f t="shared" si="37"/>
        <v>2.5</v>
      </c>
      <c r="I110" s="24">
        <f t="shared" si="38"/>
        <v>0</v>
      </c>
      <c r="J110" s="25"/>
      <c r="K110" s="26"/>
      <c r="L110" s="27">
        <f t="shared" si="39"/>
        <v>50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  <c r="AA110" s="9"/>
      <c r="AB110" s="9"/>
    </row>
    <row r="111" ht="15.75" hidden="1" customHeight="1" outlineLevel="1">
      <c r="A111" s="14">
        <v>46481.0</v>
      </c>
      <c r="B111" s="17">
        <f t="shared" si="34"/>
        <v>0</v>
      </c>
      <c r="C111" s="18">
        <v>0.1</v>
      </c>
      <c r="D111" s="19">
        <v>0.05</v>
      </c>
      <c r="E111" s="20">
        <v>3.0</v>
      </c>
      <c r="F111" s="21" t="str">
        <f t="shared" si="35"/>
        <v>#DIV/0!</v>
      </c>
      <c r="G111" s="22">
        <f t="shared" si="36"/>
        <v>5</v>
      </c>
      <c r="H111" s="23">
        <f t="shared" si="37"/>
        <v>2.5</v>
      </c>
      <c r="I111" s="24">
        <f t="shared" si="38"/>
        <v>0</v>
      </c>
      <c r="J111" s="25"/>
      <c r="K111" s="26"/>
      <c r="L111" s="27">
        <f t="shared" si="39"/>
        <v>50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  <c r="AA111" s="9"/>
      <c r="AB111" s="9"/>
    </row>
    <row r="112" ht="15.75" hidden="1" customHeight="1" outlineLevel="1">
      <c r="A112" s="14">
        <v>46482.0</v>
      </c>
      <c r="B112" s="17">
        <f t="shared" si="34"/>
        <v>0</v>
      </c>
      <c r="C112" s="18">
        <v>0.1</v>
      </c>
      <c r="D112" s="19">
        <v>0.05</v>
      </c>
      <c r="E112" s="20">
        <v>3.0</v>
      </c>
      <c r="F112" s="21" t="str">
        <f t="shared" si="35"/>
        <v>#DIV/0!</v>
      </c>
      <c r="G112" s="22">
        <f t="shared" si="36"/>
        <v>5</v>
      </c>
      <c r="H112" s="23">
        <f t="shared" si="37"/>
        <v>2.5</v>
      </c>
      <c r="I112" s="24">
        <f t="shared" si="38"/>
        <v>0</v>
      </c>
      <c r="J112" s="25"/>
      <c r="K112" s="26"/>
      <c r="L112" s="27">
        <f t="shared" si="39"/>
        <v>50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  <c r="AA112" s="9"/>
      <c r="AB112" s="9"/>
    </row>
    <row r="113" ht="15.75" hidden="1" customHeight="1" outlineLevel="1">
      <c r="A113" s="14">
        <v>46483.0</v>
      </c>
      <c r="B113" s="17">
        <f t="shared" si="34"/>
        <v>0</v>
      </c>
      <c r="C113" s="18">
        <v>0.1</v>
      </c>
      <c r="D113" s="19">
        <v>0.05</v>
      </c>
      <c r="E113" s="20">
        <v>3.0</v>
      </c>
      <c r="F113" s="21" t="str">
        <f t="shared" si="35"/>
        <v>#DIV/0!</v>
      </c>
      <c r="G113" s="22">
        <f t="shared" si="36"/>
        <v>5</v>
      </c>
      <c r="H113" s="23">
        <f t="shared" si="37"/>
        <v>2.5</v>
      </c>
      <c r="I113" s="24">
        <f t="shared" si="38"/>
        <v>0</v>
      </c>
      <c r="J113" s="25"/>
      <c r="K113" s="26"/>
      <c r="L113" s="27">
        <f t="shared" si="39"/>
        <v>50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  <c r="AA113" s="9"/>
      <c r="AB113" s="9"/>
    </row>
    <row r="114" ht="15.75" hidden="1" customHeight="1" outlineLevel="1">
      <c r="A114" s="14">
        <v>46484.0</v>
      </c>
      <c r="B114" s="17">
        <f t="shared" si="34"/>
        <v>0</v>
      </c>
      <c r="C114" s="18">
        <v>0.1</v>
      </c>
      <c r="D114" s="19">
        <v>0.05</v>
      </c>
      <c r="E114" s="20">
        <v>3.0</v>
      </c>
      <c r="F114" s="21" t="str">
        <f t="shared" si="35"/>
        <v>#DIV/0!</v>
      </c>
      <c r="G114" s="22">
        <f t="shared" si="36"/>
        <v>5</v>
      </c>
      <c r="H114" s="23">
        <f t="shared" si="37"/>
        <v>2.5</v>
      </c>
      <c r="I114" s="24">
        <f t="shared" si="38"/>
        <v>0</v>
      </c>
      <c r="J114" s="25"/>
      <c r="K114" s="26"/>
      <c r="L114" s="27">
        <f t="shared" si="39"/>
        <v>50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/>
      <c r="AA114" s="9"/>
      <c r="AB114" s="9"/>
    </row>
    <row r="115" ht="15.75" hidden="1" customHeight="1" outlineLevel="1">
      <c r="A115" s="14">
        <v>46485.0</v>
      </c>
      <c r="B115" s="17">
        <f t="shared" si="34"/>
        <v>0</v>
      </c>
      <c r="C115" s="18">
        <v>0.1</v>
      </c>
      <c r="D115" s="19">
        <v>0.05</v>
      </c>
      <c r="E115" s="20">
        <v>3.0</v>
      </c>
      <c r="F115" s="21" t="str">
        <f t="shared" si="35"/>
        <v>#DIV/0!</v>
      </c>
      <c r="G115" s="22">
        <f t="shared" si="36"/>
        <v>5</v>
      </c>
      <c r="H115" s="23">
        <f t="shared" si="37"/>
        <v>2.5</v>
      </c>
      <c r="I115" s="24">
        <f t="shared" si="38"/>
        <v>0</v>
      </c>
      <c r="J115" s="25"/>
      <c r="K115" s="26"/>
      <c r="L115" s="27">
        <f t="shared" si="39"/>
        <v>50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"/>
      <c r="AA115" s="9"/>
      <c r="AB115" s="9"/>
    </row>
    <row r="116" ht="15.75" hidden="1" customHeight="1" outlineLevel="1">
      <c r="A116" s="14">
        <v>46486.0</v>
      </c>
      <c r="B116" s="17">
        <f t="shared" si="34"/>
        <v>0</v>
      </c>
      <c r="C116" s="18">
        <v>0.1</v>
      </c>
      <c r="D116" s="19">
        <v>0.05</v>
      </c>
      <c r="E116" s="20">
        <v>3.0</v>
      </c>
      <c r="F116" s="21" t="str">
        <f t="shared" si="35"/>
        <v>#DIV/0!</v>
      </c>
      <c r="G116" s="22">
        <f t="shared" si="36"/>
        <v>5</v>
      </c>
      <c r="H116" s="23">
        <f t="shared" si="37"/>
        <v>2.5</v>
      </c>
      <c r="I116" s="24">
        <f t="shared" si="38"/>
        <v>0</v>
      </c>
      <c r="J116" s="25"/>
      <c r="K116" s="26"/>
      <c r="L116" s="27">
        <f t="shared" si="39"/>
        <v>50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  <c r="AA116" s="9"/>
      <c r="AB116" s="9"/>
    </row>
    <row r="117" ht="15.75" hidden="1" customHeight="1" outlineLevel="1">
      <c r="A117" s="14">
        <v>46487.0</v>
      </c>
      <c r="B117" s="17">
        <f t="shared" si="34"/>
        <v>0</v>
      </c>
      <c r="C117" s="18">
        <v>0.1</v>
      </c>
      <c r="D117" s="19">
        <v>0.05</v>
      </c>
      <c r="E117" s="20">
        <v>3.0</v>
      </c>
      <c r="F117" s="21" t="str">
        <f t="shared" si="35"/>
        <v>#DIV/0!</v>
      </c>
      <c r="G117" s="22">
        <f t="shared" si="36"/>
        <v>5</v>
      </c>
      <c r="H117" s="23">
        <f t="shared" si="37"/>
        <v>2.5</v>
      </c>
      <c r="I117" s="24">
        <f t="shared" si="38"/>
        <v>0</v>
      </c>
      <c r="J117" s="25"/>
      <c r="K117" s="26"/>
      <c r="L117" s="27">
        <f t="shared" si="39"/>
        <v>50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  <c r="AA117" s="9"/>
      <c r="AB117" s="9"/>
    </row>
    <row r="118" ht="15.75" hidden="1" customHeight="1" outlineLevel="1">
      <c r="A118" s="14">
        <v>46488.0</v>
      </c>
      <c r="B118" s="17">
        <f t="shared" si="34"/>
        <v>0</v>
      </c>
      <c r="C118" s="18">
        <v>0.1</v>
      </c>
      <c r="D118" s="19">
        <v>0.05</v>
      </c>
      <c r="E118" s="20">
        <v>3.0</v>
      </c>
      <c r="F118" s="21" t="str">
        <f t="shared" si="35"/>
        <v>#DIV/0!</v>
      </c>
      <c r="G118" s="22">
        <f t="shared" si="36"/>
        <v>5</v>
      </c>
      <c r="H118" s="23">
        <f t="shared" si="37"/>
        <v>2.5</v>
      </c>
      <c r="I118" s="24">
        <f t="shared" si="38"/>
        <v>0</v>
      </c>
      <c r="J118" s="25"/>
      <c r="K118" s="26"/>
      <c r="L118" s="27">
        <f t="shared" si="39"/>
        <v>50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  <c r="AA118" s="9"/>
      <c r="AB118" s="9"/>
    </row>
    <row r="119" ht="15.75" hidden="1" customHeight="1" outlineLevel="1">
      <c r="A119" s="14">
        <v>46489.0</v>
      </c>
      <c r="B119" s="17">
        <f t="shared" si="34"/>
        <v>0</v>
      </c>
      <c r="C119" s="18">
        <v>0.1</v>
      </c>
      <c r="D119" s="19">
        <v>0.05</v>
      </c>
      <c r="E119" s="20">
        <v>3.0</v>
      </c>
      <c r="F119" s="21" t="str">
        <f t="shared" si="35"/>
        <v>#DIV/0!</v>
      </c>
      <c r="G119" s="22">
        <f t="shared" si="36"/>
        <v>5</v>
      </c>
      <c r="H119" s="23">
        <f t="shared" si="37"/>
        <v>2.5</v>
      </c>
      <c r="I119" s="24">
        <f t="shared" si="38"/>
        <v>0</v>
      </c>
      <c r="J119" s="25"/>
      <c r="K119" s="26"/>
      <c r="L119" s="27">
        <f t="shared" si="39"/>
        <v>50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  <c r="AA119" s="9"/>
      <c r="AB119" s="9"/>
    </row>
    <row r="120" ht="15.75" hidden="1" customHeight="1" outlineLevel="1">
      <c r="A120" s="14">
        <v>46490.0</v>
      </c>
      <c r="B120" s="17">
        <f t="shared" si="34"/>
        <v>0</v>
      </c>
      <c r="C120" s="18">
        <v>0.1</v>
      </c>
      <c r="D120" s="19">
        <v>0.05</v>
      </c>
      <c r="E120" s="20">
        <v>3.0</v>
      </c>
      <c r="F120" s="21" t="str">
        <f t="shared" si="35"/>
        <v>#DIV/0!</v>
      </c>
      <c r="G120" s="22">
        <f t="shared" si="36"/>
        <v>5</v>
      </c>
      <c r="H120" s="23">
        <f t="shared" si="37"/>
        <v>2.5</v>
      </c>
      <c r="I120" s="24">
        <f t="shared" si="38"/>
        <v>0</v>
      </c>
      <c r="J120" s="25"/>
      <c r="K120" s="26"/>
      <c r="L120" s="27">
        <f t="shared" si="39"/>
        <v>50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  <c r="AA120" s="9"/>
      <c r="AB120" s="9"/>
    </row>
    <row r="121" ht="15.75" hidden="1" customHeight="1" outlineLevel="1">
      <c r="A121" s="14">
        <v>46491.0</v>
      </c>
      <c r="B121" s="17">
        <f t="shared" si="34"/>
        <v>0</v>
      </c>
      <c r="C121" s="18">
        <v>0.1</v>
      </c>
      <c r="D121" s="19">
        <v>0.05</v>
      </c>
      <c r="E121" s="20">
        <v>3.0</v>
      </c>
      <c r="F121" s="21" t="str">
        <f t="shared" si="35"/>
        <v>#DIV/0!</v>
      </c>
      <c r="G121" s="22">
        <f t="shared" si="36"/>
        <v>5</v>
      </c>
      <c r="H121" s="23">
        <f t="shared" si="37"/>
        <v>2.5</v>
      </c>
      <c r="I121" s="24">
        <f t="shared" si="38"/>
        <v>0</v>
      </c>
      <c r="J121" s="25"/>
      <c r="K121" s="26"/>
      <c r="L121" s="27">
        <f t="shared" si="39"/>
        <v>50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"/>
      <c r="AA121" s="9"/>
      <c r="AB121" s="9"/>
    </row>
    <row r="122" ht="15.75" hidden="1" customHeight="1" outlineLevel="1">
      <c r="A122" s="14">
        <v>46492.0</v>
      </c>
      <c r="B122" s="17">
        <f t="shared" si="34"/>
        <v>0</v>
      </c>
      <c r="C122" s="18">
        <v>0.1</v>
      </c>
      <c r="D122" s="19">
        <v>0.05</v>
      </c>
      <c r="E122" s="20">
        <v>3.0</v>
      </c>
      <c r="F122" s="21" t="str">
        <f t="shared" si="35"/>
        <v>#DIV/0!</v>
      </c>
      <c r="G122" s="22">
        <f t="shared" si="36"/>
        <v>5</v>
      </c>
      <c r="H122" s="23">
        <f t="shared" si="37"/>
        <v>2.5</v>
      </c>
      <c r="I122" s="24">
        <f t="shared" si="38"/>
        <v>0</v>
      </c>
      <c r="J122" s="25"/>
      <c r="K122" s="26"/>
      <c r="L122" s="27">
        <f t="shared" si="39"/>
        <v>50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"/>
      <c r="AA122" s="9"/>
      <c r="AB122" s="9"/>
    </row>
    <row r="123" ht="15.75" hidden="1" customHeight="1" outlineLevel="1">
      <c r="A123" s="14">
        <v>46493.0</v>
      </c>
      <c r="B123" s="17">
        <f t="shared" si="34"/>
        <v>0</v>
      </c>
      <c r="C123" s="18">
        <v>0.1</v>
      </c>
      <c r="D123" s="19">
        <v>0.05</v>
      </c>
      <c r="E123" s="20">
        <v>3.0</v>
      </c>
      <c r="F123" s="21" t="str">
        <f t="shared" si="35"/>
        <v>#DIV/0!</v>
      </c>
      <c r="G123" s="22">
        <f t="shared" si="36"/>
        <v>5</v>
      </c>
      <c r="H123" s="23">
        <f t="shared" si="37"/>
        <v>2.5</v>
      </c>
      <c r="I123" s="24">
        <f t="shared" si="38"/>
        <v>0</v>
      </c>
      <c r="J123" s="25"/>
      <c r="K123" s="26"/>
      <c r="L123" s="27">
        <f t="shared" si="39"/>
        <v>50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  <c r="AA123" s="9"/>
      <c r="AB123" s="9"/>
    </row>
    <row r="124" ht="15.75" hidden="1" customHeight="1" outlineLevel="1">
      <c r="A124" s="14">
        <v>46494.0</v>
      </c>
      <c r="B124" s="17">
        <f t="shared" si="34"/>
        <v>0</v>
      </c>
      <c r="C124" s="18">
        <v>0.1</v>
      </c>
      <c r="D124" s="19">
        <v>0.05</v>
      </c>
      <c r="E124" s="20">
        <v>3.0</v>
      </c>
      <c r="F124" s="21" t="str">
        <f t="shared" si="35"/>
        <v>#DIV/0!</v>
      </c>
      <c r="G124" s="22">
        <f t="shared" si="36"/>
        <v>5</v>
      </c>
      <c r="H124" s="23">
        <f t="shared" si="37"/>
        <v>2.5</v>
      </c>
      <c r="I124" s="24">
        <f t="shared" si="38"/>
        <v>0</v>
      </c>
      <c r="J124" s="25"/>
      <c r="K124" s="26"/>
      <c r="L124" s="27">
        <f t="shared" si="39"/>
        <v>50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  <c r="AA124" s="9"/>
      <c r="AB124" s="9"/>
    </row>
    <row r="125" ht="15.75" hidden="1" customHeight="1" outlineLevel="1">
      <c r="A125" s="14">
        <v>46495.0</v>
      </c>
      <c r="B125" s="17">
        <f t="shared" si="34"/>
        <v>0</v>
      </c>
      <c r="C125" s="18">
        <v>0.1</v>
      </c>
      <c r="D125" s="19">
        <v>0.05</v>
      </c>
      <c r="E125" s="20">
        <v>3.0</v>
      </c>
      <c r="F125" s="21" t="str">
        <f t="shared" si="35"/>
        <v>#DIV/0!</v>
      </c>
      <c r="G125" s="22">
        <f t="shared" si="36"/>
        <v>5</v>
      </c>
      <c r="H125" s="23">
        <f t="shared" si="37"/>
        <v>2.5</v>
      </c>
      <c r="I125" s="24">
        <f t="shared" si="38"/>
        <v>0</v>
      </c>
      <c r="J125" s="25"/>
      <c r="K125" s="26"/>
      <c r="L125" s="27">
        <f t="shared" si="39"/>
        <v>50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/>
      <c r="AA125" s="9"/>
      <c r="AB125" s="9"/>
    </row>
    <row r="126" ht="15.75" hidden="1" customHeight="1" outlineLevel="1">
      <c r="A126" s="14">
        <v>46496.0</v>
      </c>
      <c r="B126" s="17">
        <f t="shared" si="34"/>
        <v>0</v>
      </c>
      <c r="C126" s="18">
        <v>0.1</v>
      </c>
      <c r="D126" s="19">
        <v>0.05</v>
      </c>
      <c r="E126" s="20">
        <v>3.0</v>
      </c>
      <c r="F126" s="21" t="str">
        <f t="shared" si="35"/>
        <v>#DIV/0!</v>
      </c>
      <c r="G126" s="22">
        <f t="shared" si="36"/>
        <v>5</v>
      </c>
      <c r="H126" s="23">
        <f t="shared" si="37"/>
        <v>2.5</v>
      </c>
      <c r="I126" s="24">
        <f t="shared" si="38"/>
        <v>0</v>
      </c>
      <c r="J126" s="25"/>
      <c r="K126" s="26"/>
      <c r="L126" s="27">
        <f t="shared" si="39"/>
        <v>50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/>
      <c r="AA126" s="9"/>
      <c r="AB126" s="9"/>
    </row>
    <row r="127" ht="15.75" hidden="1" customHeight="1" outlineLevel="1">
      <c r="A127" s="14">
        <v>46497.0</v>
      </c>
      <c r="B127" s="17">
        <f t="shared" si="34"/>
        <v>0</v>
      </c>
      <c r="C127" s="18">
        <v>0.1</v>
      </c>
      <c r="D127" s="19">
        <v>0.05</v>
      </c>
      <c r="E127" s="20">
        <v>3.0</v>
      </c>
      <c r="F127" s="21" t="str">
        <f t="shared" si="35"/>
        <v>#DIV/0!</v>
      </c>
      <c r="G127" s="22">
        <f t="shared" si="36"/>
        <v>5</v>
      </c>
      <c r="H127" s="23">
        <f t="shared" si="37"/>
        <v>2.5</v>
      </c>
      <c r="I127" s="24">
        <f t="shared" si="38"/>
        <v>0</v>
      </c>
      <c r="J127" s="25"/>
      <c r="K127" s="26"/>
      <c r="L127" s="27">
        <f t="shared" si="39"/>
        <v>50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  <c r="AA127" s="9"/>
      <c r="AB127" s="9"/>
    </row>
    <row r="128" ht="15.75" hidden="1" customHeight="1" outlineLevel="1">
      <c r="A128" s="14">
        <v>46498.0</v>
      </c>
      <c r="B128" s="17">
        <f t="shared" si="34"/>
        <v>0</v>
      </c>
      <c r="C128" s="18">
        <v>0.1</v>
      </c>
      <c r="D128" s="19">
        <v>0.05</v>
      </c>
      <c r="E128" s="20">
        <v>3.0</v>
      </c>
      <c r="F128" s="21" t="str">
        <f t="shared" si="35"/>
        <v>#DIV/0!</v>
      </c>
      <c r="G128" s="22">
        <f t="shared" si="36"/>
        <v>5</v>
      </c>
      <c r="H128" s="23">
        <f t="shared" si="37"/>
        <v>2.5</v>
      </c>
      <c r="I128" s="24">
        <f t="shared" si="38"/>
        <v>0</v>
      </c>
      <c r="J128" s="25"/>
      <c r="K128" s="26"/>
      <c r="L128" s="27">
        <f t="shared" si="39"/>
        <v>50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"/>
      <c r="AA128" s="9"/>
      <c r="AB128" s="9"/>
    </row>
    <row r="129" ht="15.75" hidden="1" customHeight="1" outlineLevel="1">
      <c r="A129" s="14">
        <v>46499.0</v>
      </c>
      <c r="B129" s="17">
        <f t="shared" si="34"/>
        <v>0</v>
      </c>
      <c r="C129" s="18">
        <v>0.1</v>
      </c>
      <c r="D129" s="19">
        <v>0.05</v>
      </c>
      <c r="E129" s="20">
        <v>3.0</v>
      </c>
      <c r="F129" s="21" t="str">
        <f t="shared" si="35"/>
        <v>#DIV/0!</v>
      </c>
      <c r="G129" s="22">
        <f t="shared" si="36"/>
        <v>5</v>
      </c>
      <c r="H129" s="23">
        <f t="shared" si="37"/>
        <v>2.5</v>
      </c>
      <c r="I129" s="24">
        <f t="shared" si="38"/>
        <v>0</v>
      </c>
      <c r="J129" s="25"/>
      <c r="K129" s="26"/>
      <c r="L129" s="27">
        <f t="shared" si="39"/>
        <v>50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"/>
      <c r="AA129" s="9"/>
      <c r="AB129" s="9"/>
    </row>
    <row r="130" ht="15.75" hidden="1" customHeight="1" outlineLevel="1">
      <c r="A130" s="14">
        <v>46500.0</v>
      </c>
      <c r="B130" s="17">
        <f t="shared" si="34"/>
        <v>0</v>
      </c>
      <c r="C130" s="18">
        <v>0.1</v>
      </c>
      <c r="D130" s="19">
        <v>0.05</v>
      </c>
      <c r="E130" s="20">
        <v>3.0</v>
      </c>
      <c r="F130" s="21" t="str">
        <f t="shared" si="35"/>
        <v>#DIV/0!</v>
      </c>
      <c r="G130" s="22">
        <f t="shared" si="36"/>
        <v>5</v>
      </c>
      <c r="H130" s="23">
        <f t="shared" si="37"/>
        <v>2.5</v>
      </c>
      <c r="I130" s="24">
        <f t="shared" si="38"/>
        <v>0</v>
      </c>
      <c r="J130" s="25"/>
      <c r="K130" s="26"/>
      <c r="L130" s="27">
        <f t="shared" si="39"/>
        <v>50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  <c r="AA130" s="9"/>
      <c r="AB130" s="9"/>
    </row>
    <row r="131" ht="15.75" hidden="1" customHeight="1" outlineLevel="1">
      <c r="A131" s="14">
        <v>46501.0</v>
      </c>
      <c r="B131" s="17">
        <f t="shared" si="34"/>
        <v>0</v>
      </c>
      <c r="C131" s="18">
        <v>0.1</v>
      </c>
      <c r="D131" s="19">
        <v>0.05</v>
      </c>
      <c r="E131" s="20">
        <v>3.0</v>
      </c>
      <c r="F131" s="21" t="str">
        <f t="shared" si="35"/>
        <v>#DIV/0!</v>
      </c>
      <c r="G131" s="22">
        <f t="shared" si="36"/>
        <v>5</v>
      </c>
      <c r="H131" s="23">
        <f t="shared" si="37"/>
        <v>2.5</v>
      </c>
      <c r="I131" s="24">
        <f t="shared" si="38"/>
        <v>0</v>
      </c>
      <c r="J131" s="25"/>
      <c r="K131" s="26"/>
      <c r="L131" s="27">
        <f t="shared" si="39"/>
        <v>50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  <c r="AA131" s="9"/>
      <c r="AB131" s="9"/>
    </row>
    <row r="132" ht="15.75" hidden="1" customHeight="1" outlineLevel="1">
      <c r="A132" s="14">
        <v>46502.0</v>
      </c>
      <c r="B132" s="17">
        <f t="shared" si="34"/>
        <v>0</v>
      </c>
      <c r="C132" s="18">
        <v>0.1</v>
      </c>
      <c r="D132" s="19">
        <v>0.05</v>
      </c>
      <c r="E132" s="20">
        <v>3.0</v>
      </c>
      <c r="F132" s="21" t="str">
        <f t="shared" si="35"/>
        <v>#DIV/0!</v>
      </c>
      <c r="G132" s="22">
        <f t="shared" si="36"/>
        <v>5</v>
      </c>
      <c r="H132" s="23">
        <f t="shared" si="37"/>
        <v>2.5</v>
      </c>
      <c r="I132" s="24">
        <f t="shared" si="38"/>
        <v>0</v>
      </c>
      <c r="J132" s="25"/>
      <c r="K132" s="26"/>
      <c r="L132" s="27">
        <f t="shared" si="39"/>
        <v>50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/>
      <c r="AA132" s="9"/>
      <c r="AB132" s="9"/>
    </row>
    <row r="133" ht="15.75" hidden="1" customHeight="1" outlineLevel="1">
      <c r="A133" s="14">
        <v>46503.0</v>
      </c>
      <c r="B133" s="17">
        <f t="shared" si="34"/>
        <v>0</v>
      </c>
      <c r="C133" s="18">
        <v>0.1</v>
      </c>
      <c r="D133" s="19">
        <v>0.05</v>
      </c>
      <c r="E133" s="20">
        <v>3.0</v>
      </c>
      <c r="F133" s="21" t="str">
        <f t="shared" si="35"/>
        <v>#DIV/0!</v>
      </c>
      <c r="G133" s="22">
        <f t="shared" si="36"/>
        <v>5</v>
      </c>
      <c r="H133" s="23">
        <f t="shared" si="37"/>
        <v>2.5</v>
      </c>
      <c r="I133" s="24">
        <f t="shared" si="38"/>
        <v>0</v>
      </c>
      <c r="J133" s="25"/>
      <c r="K133" s="26"/>
      <c r="L133" s="27">
        <f t="shared" si="39"/>
        <v>50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/>
      <c r="AA133" s="9"/>
      <c r="AB133" s="9"/>
    </row>
    <row r="134" ht="15.75" hidden="1" customHeight="1" outlineLevel="1">
      <c r="A134" s="14">
        <v>46504.0</v>
      </c>
      <c r="B134" s="17">
        <f t="shared" si="34"/>
        <v>0</v>
      </c>
      <c r="C134" s="18">
        <v>0.1</v>
      </c>
      <c r="D134" s="19">
        <v>0.05</v>
      </c>
      <c r="E134" s="20">
        <v>3.0</v>
      </c>
      <c r="F134" s="21" t="str">
        <f t="shared" si="35"/>
        <v>#DIV/0!</v>
      </c>
      <c r="G134" s="22">
        <f t="shared" si="36"/>
        <v>5</v>
      </c>
      <c r="H134" s="23">
        <f t="shared" si="37"/>
        <v>2.5</v>
      </c>
      <c r="I134" s="24">
        <f t="shared" si="38"/>
        <v>0</v>
      </c>
      <c r="J134" s="25"/>
      <c r="K134" s="26"/>
      <c r="L134" s="27">
        <f t="shared" si="39"/>
        <v>50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/>
      <c r="AA134" s="9"/>
      <c r="AB134" s="9"/>
    </row>
    <row r="135" ht="15.75" hidden="1" customHeight="1" outlineLevel="1">
      <c r="A135" s="14">
        <v>46505.0</v>
      </c>
      <c r="B135" s="17">
        <f t="shared" si="34"/>
        <v>0</v>
      </c>
      <c r="C135" s="18">
        <v>0.1</v>
      </c>
      <c r="D135" s="19">
        <v>0.05</v>
      </c>
      <c r="E135" s="20">
        <v>3.0</v>
      </c>
      <c r="F135" s="21" t="str">
        <f t="shared" si="35"/>
        <v>#DIV/0!</v>
      </c>
      <c r="G135" s="22">
        <f t="shared" si="36"/>
        <v>5</v>
      </c>
      <c r="H135" s="23">
        <f t="shared" si="37"/>
        <v>2.5</v>
      </c>
      <c r="I135" s="24">
        <f t="shared" si="38"/>
        <v>0</v>
      </c>
      <c r="J135" s="25"/>
      <c r="K135" s="26"/>
      <c r="L135" s="27">
        <f t="shared" si="39"/>
        <v>50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/>
      <c r="AA135" s="9"/>
      <c r="AB135" s="9"/>
    </row>
    <row r="136" ht="15.75" hidden="1" customHeight="1" outlineLevel="1">
      <c r="A136" s="14">
        <v>46506.0</v>
      </c>
      <c r="B136" s="17">
        <f t="shared" si="34"/>
        <v>0</v>
      </c>
      <c r="C136" s="18">
        <v>0.1</v>
      </c>
      <c r="D136" s="19">
        <v>0.05</v>
      </c>
      <c r="E136" s="20">
        <v>3.0</v>
      </c>
      <c r="F136" s="21" t="str">
        <f t="shared" si="35"/>
        <v>#DIV/0!</v>
      </c>
      <c r="G136" s="22">
        <f t="shared" si="36"/>
        <v>5</v>
      </c>
      <c r="H136" s="23">
        <f t="shared" si="37"/>
        <v>2.5</v>
      </c>
      <c r="I136" s="24">
        <f t="shared" si="38"/>
        <v>0</v>
      </c>
      <c r="J136" s="25"/>
      <c r="K136" s="26"/>
      <c r="L136" s="27">
        <f t="shared" si="39"/>
        <v>50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"/>
      <c r="AA136" s="9"/>
      <c r="AB136" s="9"/>
    </row>
    <row r="137" ht="15.75" hidden="1" customHeight="1" outlineLevel="1">
      <c r="A137" s="14">
        <v>46507.0</v>
      </c>
      <c r="B137" s="17">
        <f t="shared" si="34"/>
        <v>0</v>
      </c>
      <c r="C137" s="18">
        <v>0.1</v>
      </c>
      <c r="D137" s="19">
        <v>0.05</v>
      </c>
      <c r="E137" s="20">
        <v>3.0</v>
      </c>
      <c r="F137" s="21" t="str">
        <f t="shared" si="35"/>
        <v>#DIV/0!</v>
      </c>
      <c r="G137" s="22">
        <f t="shared" si="36"/>
        <v>5</v>
      </c>
      <c r="H137" s="23">
        <f t="shared" si="37"/>
        <v>2.5</v>
      </c>
      <c r="I137" s="24">
        <f t="shared" si="38"/>
        <v>0</v>
      </c>
      <c r="J137" s="25"/>
      <c r="K137" s="26"/>
      <c r="L137" s="27">
        <f t="shared" si="39"/>
        <v>50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  <c r="AA137" s="9"/>
      <c r="AB137" s="9"/>
    </row>
    <row r="138" ht="15.75" hidden="1" customHeight="1" outlineLevel="1">
      <c r="A138" s="28" t="s">
        <v>18</v>
      </c>
      <c r="C138" s="29">
        <f>SUM(C108:C137)</f>
        <v>3</v>
      </c>
      <c r="D138" s="30"/>
      <c r="E138" s="30"/>
      <c r="F138" s="30"/>
      <c r="G138" s="30"/>
      <c r="H138" s="30"/>
      <c r="I138" s="31">
        <f t="shared" ref="I138:K138" si="40">SUM(I108:I137)</f>
        <v>0</v>
      </c>
      <c r="J138" s="32">
        <f t="shared" si="40"/>
        <v>0</v>
      </c>
      <c r="K138" s="30">
        <f t="shared" si="40"/>
        <v>0</v>
      </c>
      <c r="L138" s="32">
        <f>L137</f>
        <v>50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  <c r="AA138" s="9"/>
      <c r="AB138" s="9"/>
    </row>
    <row r="139" ht="15.75" customHeight="1">
      <c r="A139" s="38"/>
      <c r="B139" s="35"/>
      <c r="C139" s="35"/>
      <c r="D139" s="35"/>
      <c r="E139" s="35"/>
      <c r="F139" s="35"/>
      <c r="G139" s="35"/>
      <c r="H139" s="35"/>
      <c r="I139" s="35"/>
      <c r="J139" s="35"/>
      <c r="K139" s="37">
        <f>SUM(K108:K137)</f>
        <v>0</v>
      </c>
      <c r="L139" s="35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  <c r="AA139" s="9"/>
      <c r="AB139" s="9"/>
    </row>
    <row r="140" ht="15.75" customHeight="1" collapsed="1">
      <c r="A140" s="1" t="s">
        <v>23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  <c r="AA140" s="9"/>
      <c r="AB140" s="9"/>
    </row>
    <row r="141" ht="15.75" hidden="1" customHeight="1" outlineLevel="1">
      <c r="A141" s="14" t="s">
        <v>6</v>
      </c>
      <c r="B141" s="1" t="s">
        <v>7</v>
      </c>
      <c r="C141" s="1" t="s">
        <v>8</v>
      </c>
      <c r="D141" s="15" t="s">
        <v>9</v>
      </c>
      <c r="E141" s="15" t="s">
        <v>10</v>
      </c>
      <c r="F141" s="15" t="s">
        <v>11</v>
      </c>
      <c r="G141" s="16" t="s">
        <v>12</v>
      </c>
      <c r="H141" s="15" t="s">
        <v>13</v>
      </c>
      <c r="I141" s="1" t="s">
        <v>14</v>
      </c>
      <c r="J141" s="17" t="s">
        <v>15</v>
      </c>
      <c r="K141" s="1" t="s">
        <v>16</v>
      </c>
      <c r="L141" s="1" t="s">
        <v>17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  <c r="AA141" s="9"/>
      <c r="AB141" s="9"/>
    </row>
    <row r="142" ht="15.75" hidden="1" customHeight="1" outlineLevel="1">
      <c r="A142" s="14">
        <v>46508.0</v>
      </c>
      <c r="B142" s="17">
        <f t="shared" ref="B142:B172" si="41">ROUND(AVERAGE((H142/1000)/E142), 2)</f>
        <v>0</v>
      </c>
      <c r="C142" s="18">
        <v>0.1</v>
      </c>
      <c r="D142" s="19">
        <v>0.05</v>
      </c>
      <c r="E142" s="20">
        <v>3.0</v>
      </c>
      <c r="F142" s="21" t="str">
        <f t="shared" ref="F142:F172" si="42">H142/B142</f>
        <v>#DIV/0!</v>
      </c>
      <c r="G142" s="22">
        <f>L138*C142</f>
        <v>5</v>
      </c>
      <c r="H142" s="23">
        <f>L138*D142</f>
        <v>2.5</v>
      </c>
      <c r="I142" s="24" t="str">
        <f>(J142/B137)*100</f>
        <v>#DIV/0!</v>
      </c>
      <c r="J142" s="25"/>
      <c r="K142" s="26"/>
      <c r="L142" s="27">
        <f>(L138+J142)-K142</f>
        <v>50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/>
      <c r="AA142" s="9"/>
      <c r="AB142" s="9"/>
    </row>
    <row r="143" ht="15.75" hidden="1" customHeight="1" outlineLevel="1">
      <c r="A143" s="14">
        <v>46509.0</v>
      </c>
      <c r="B143" s="17">
        <f t="shared" si="41"/>
        <v>0</v>
      </c>
      <c r="C143" s="18">
        <v>0.1</v>
      </c>
      <c r="D143" s="19">
        <v>0.05</v>
      </c>
      <c r="E143" s="20">
        <v>3.0</v>
      </c>
      <c r="F143" s="21" t="str">
        <f t="shared" si="42"/>
        <v>#DIV/0!</v>
      </c>
      <c r="G143" s="22">
        <f t="shared" ref="G143:G172" si="43">L142*C143</f>
        <v>5</v>
      </c>
      <c r="H143" s="23">
        <f t="shared" ref="H143:H172" si="44">L142*D143</f>
        <v>2.5</v>
      </c>
      <c r="I143" s="24">
        <f t="shared" ref="I143:I172" si="45">(J143/L142)*100</f>
        <v>0</v>
      </c>
      <c r="J143" s="25"/>
      <c r="K143" s="26"/>
      <c r="L143" s="27">
        <f t="shared" ref="L143:L172" si="46">(L142+J143)-K143</f>
        <v>50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"/>
      <c r="AA143" s="9"/>
      <c r="AB143" s="9"/>
    </row>
    <row r="144" ht="15.75" hidden="1" customHeight="1" outlineLevel="1">
      <c r="A144" s="14">
        <v>46510.0</v>
      </c>
      <c r="B144" s="17">
        <f t="shared" si="41"/>
        <v>0</v>
      </c>
      <c r="C144" s="18">
        <v>0.1</v>
      </c>
      <c r="D144" s="19">
        <v>0.05</v>
      </c>
      <c r="E144" s="20">
        <v>3.0</v>
      </c>
      <c r="F144" s="21" t="str">
        <f t="shared" si="42"/>
        <v>#DIV/0!</v>
      </c>
      <c r="G144" s="22">
        <f t="shared" si="43"/>
        <v>5</v>
      </c>
      <c r="H144" s="23">
        <f t="shared" si="44"/>
        <v>2.5</v>
      </c>
      <c r="I144" s="24">
        <f t="shared" si="45"/>
        <v>0</v>
      </c>
      <c r="J144" s="25"/>
      <c r="K144" s="26"/>
      <c r="L144" s="27">
        <f t="shared" si="46"/>
        <v>50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  <c r="AA144" s="9"/>
      <c r="AB144" s="9"/>
    </row>
    <row r="145" ht="15.75" hidden="1" customHeight="1" outlineLevel="1">
      <c r="A145" s="14">
        <v>46511.0</v>
      </c>
      <c r="B145" s="17">
        <f t="shared" si="41"/>
        <v>0</v>
      </c>
      <c r="C145" s="18">
        <v>0.1</v>
      </c>
      <c r="D145" s="19">
        <v>0.05</v>
      </c>
      <c r="E145" s="20">
        <v>3.0</v>
      </c>
      <c r="F145" s="21" t="str">
        <f t="shared" si="42"/>
        <v>#DIV/0!</v>
      </c>
      <c r="G145" s="22">
        <f t="shared" si="43"/>
        <v>5</v>
      </c>
      <c r="H145" s="23">
        <f t="shared" si="44"/>
        <v>2.5</v>
      </c>
      <c r="I145" s="24">
        <f t="shared" si="45"/>
        <v>0</v>
      </c>
      <c r="J145" s="25"/>
      <c r="K145" s="26"/>
      <c r="L145" s="27">
        <f t="shared" si="46"/>
        <v>50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  <c r="AA145" s="9"/>
      <c r="AB145" s="9"/>
    </row>
    <row r="146" ht="15.75" hidden="1" customHeight="1" outlineLevel="1">
      <c r="A146" s="14">
        <v>46512.0</v>
      </c>
      <c r="B146" s="17">
        <f t="shared" si="41"/>
        <v>0</v>
      </c>
      <c r="C146" s="18">
        <v>0.1</v>
      </c>
      <c r="D146" s="19">
        <v>0.05</v>
      </c>
      <c r="E146" s="20">
        <v>3.0</v>
      </c>
      <c r="F146" s="21" t="str">
        <f t="shared" si="42"/>
        <v>#DIV/0!</v>
      </c>
      <c r="G146" s="22">
        <f t="shared" si="43"/>
        <v>5</v>
      </c>
      <c r="H146" s="23">
        <f t="shared" si="44"/>
        <v>2.5</v>
      </c>
      <c r="I146" s="24">
        <f t="shared" si="45"/>
        <v>0</v>
      </c>
      <c r="J146" s="25"/>
      <c r="K146" s="26"/>
      <c r="L146" s="27">
        <f t="shared" si="46"/>
        <v>50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  <c r="AA146" s="9"/>
      <c r="AB146" s="9"/>
    </row>
    <row r="147" ht="15.75" hidden="1" customHeight="1" outlineLevel="1">
      <c r="A147" s="14">
        <v>46513.0</v>
      </c>
      <c r="B147" s="17">
        <f t="shared" si="41"/>
        <v>0</v>
      </c>
      <c r="C147" s="18">
        <v>0.1</v>
      </c>
      <c r="D147" s="19">
        <v>0.05</v>
      </c>
      <c r="E147" s="20">
        <v>3.0</v>
      </c>
      <c r="F147" s="21" t="str">
        <f t="shared" si="42"/>
        <v>#DIV/0!</v>
      </c>
      <c r="G147" s="22">
        <f t="shared" si="43"/>
        <v>5</v>
      </c>
      <c r="H147" s="23">
        <f t="shared" si="44"/>
        <v>2.5</v>
      </c>
      <c r="I147" s="24">
        <f t="shared" si="45"/>
        <v>0</v>
      </c>
      <c r="J147" s="25"/>
      <c r="K147" s="26"/>
      <c r="L147" s="27">
        <f t="shared" si="46"/>
        <v>50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"/>
      <c r="AA147" s="9"/>
      <c r="AB147" s="9"/>
    </row>
    <row r="148" ht="15.75" hidden="1" customHeight="1" outlineLevel="1">
      <c r="A148" s="14">
        <v>46514.0</v>
      </c>
      <c r="B148" s="17">
        <f t="shared" si="41"/>
        <v>0</v>
      </c>
      <c r="C148" s="18">
        <v>0.1</v>
      </c>
      <c r="D148" s="19">
        <v>0.05</v>
      </c>
      <c r="E148" s="20">
        <v>3.0</v>
      </c>
      <c r="F148" s="21" t="str">
        <f t="shared" si="42"/>
        <v>#DIV/0!</v>
      </c>
      <c r="G148" s="22">
        <f t="shared" si="43"/>
        <v>5</v>
      </c>
      <c r="H148" s="23">
        <f t="shared" si="44"/>
        <v>2.5</v>
      </c>
      <c r="I148" s="24">
        <f t="shared" si="45"/>
        <v>0</v>
      </c>
      <c r="J148" s="25"/>
      <c r="K148" s="26"/>
      <c r="L148" s="27">
        <f t="shared" si="46"/>
        <v>50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/>
      <c r="AA148" s="9"/>
      <c r="AB148" s="9"/>
    </row>
    <row r="149" ht="15.75" hidden="1" customHeight="1" outlineLevel="1">
      <c r="A149" s="14">
        <v>46515.0</v>
      </c>
      <c r="B149" s="17">
        <f t="shared" si="41"/>
        <v>0</v>
      </c>
      <c r="C149" s="18">
        <v>0.1</v>
      </c>
      <c r="D149" s="19">
        <v>0.05</v>
      </c>
      <c r="E149" s="20">
        <v>3.0</v>
      </c>
      <c r="F149" s="21" t="str">
        <f t="shared" si="42"/>
        <v>#DIV/0!</v>
      </c>
      <c r="G149" s="22">
        <f t="shared" si="43"/>
        <v>5</v>
      </c>
      <c r="H149" s="23">
        <f t="shared" si="44"/>
        <v>2.5</v>
      </c>
      <c r="I149" s="24">
        <f t="shared" si="45"/>
        <v>0</v>
      </c>
      <c r="J149" s="25"/>
      <c r="K149" s="26"/>
      <c r="L149" s="27">
        <f t="shared" si="46"/>
        <v>50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"/>
      <c r="AA149" s="9"/>
      <c r="AB149" s="9"/>
    </row>
    <row r="150" ht="15.75" hidden="1" customHeight="1" outlineLevel="1">
      <c r="A150" s="14">
        <v>46516.0</v>
      </c>
      <c r="B150" s="17">
        <f t="shared" si="41"/>
        <v>0</v>
      </c>
      <c r="C150" s="18">
        <v>0.1</v>
      </c>
      <c r="D150" s="19">
        <v>0.05</v>
      </c>
      <c r="E150" s="20">
        <v>3.0</v>
      </c>
      <c r="F150" s="21" t="str">
        <f t="shared" si="42"/>
        <v>#DIV/0!</v>
      </c>
      <c r="G150" s="22">
        <f t="shared" si="43"/>
        <v>5</v>
      </c>
      <c r="H150" s="23">
        <f t="shared" si="44"/>
        <v>2.5</v>
      </c>
      <c r="I150" s="24">
        <f t="shared" si="45"/>
        <v>0</v>
      </c>
      <c r="J150" s="25"/>
      <c r="K150" s="26"/>
      <c r="L150" s="27">
        <f t="shared" si="46"/>
        <v>50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"/>
      <c r="AA150" s="9"/>
      <c r="AB150" s="9"/>
    </row>
    <row r="151" ht="15.75" hidden="1" customHeight="1" outlineLevel="1">
      <c r="A151" s="14">
        <v>46517.0</v>
      </c>
      <c r="B151" s="17">
        <f t="shared" si="41"/>
        <v>0</v>
      </c>
      <c r="C151" s="18">
        <v>0.1</v>
      </c>
      <c r="D151" s="19">
        <v>0.05</v>
      </c>
      <c r="E151" s="20">
        <v>3.0</v>
      </c>
      <c r="F151" s="21" t="str">
        <f t="shared" si="42"/>
        <v>#DIV/0!</v>
      </c>
      <c r="G151" s="22">
        <f t="shared" si="43"/>
        <v>5</v>
      </c>
      <c r="H151" s="23">
        <f t="shared" si="44"/>
        <v>2.5</v>
      </c>
      <c r="I151" s="24">
        <f t="shared" si="45"/>
        <v>0</v>
      </c>
      <c r="J151" s="25"/>
      <c r="K151" s="26"/>
      <c r="L151" s="27">
        <f t="shared" si="46"/>
        <v>50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  <c r="AA151" s="9"/>
      <c r="AB151" s="9"/>
    </row>
    <row r="152" ht="15.75" hidden="1" customHeight="1" outlineLevel="1">
      <c r="A152" s="14">
        <v>46518.0</v>
      </c>
      <c r="B152" s="17">
        <f t="shared" si="41"/>
        <v>0</v>
      </c>
      <c r="C152" s="18">
        <v>0.1</v>
      </c>
      <c r="D152" s="19">
        <v>0.05</v>
      </c>
      <c r="E152" s="20">
        <v>3.0</v>
      </c>
      <c r="F152" s="21" t="str">
        <f t="shared" si="42"/>
        <v>#DIV/0!</v>
      </c>
      <c r="G152" s="22">
        <f t="shared" si="43"/>
        <v>5</v>
      </c>
      <c r="H152" s="23">
        <f t="shared" si="44"/>
        <v>2.5</v>
      </c>
      <c r="I152" s="24">
        <f t="shared" si="45"/>
        <v>0</v>
      </c>
      <c r="J152" s="25"/>
      <c r="K152" s="26"/>
      <c r="L152" s="27">
        <f t="shared" si="46"/>
        <v>50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/>
      <c r="AA152" s="9"/>
      <c r="AB152" s="9"/>
    </row>
    <row r="153" ht="15.75" hidden="1" customHeight="1" outlineLevel="1">
      <c r="A153" s="14">
        <v>46519.0</v>
      </c>
      <c r="B153" s="17">
        <f t="shared" si="41"/>
        <v>0</v>
      </c>
      <c r="C153" s="18">
        <v>0.1</v>
      </c>
      <c r="D153" s="19">
        <v>0.05</v>
      </c>
      <c r="E153" s="20">
        <v>3.0</v>
      </c>
      <c r="F153" s="21" t="str">
        <f t="shared" si="42"/>
        <v>#DIV/0!</v>
      </c>
      <c r="G153" s="22">
        <f t="shared" si="43"/>
        <v>5</v>
      </c>
      <c r="H153" s="23">
        <f t="shared" si="44"/>
        <v>2.5</v>
      </c>
      <c r="I153" s="24">
        <f t="shared" si="45"/>
        <v>0</v>
      </c>
      <c r="J153" s="25"/>
      <c r="K153" s="26"/>
      <c r="L153" s="27">
        <f t="shared" si="46"/>
        <v>50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  <c r="AA153" s="9"/>
      <c r="AB153" s="9"/>
    </row>
    <row r="154" ht="15.75" hidden="1" customHeight="1" outlineLevel="1">
      <c r="A154" s="14">
        <v>46520.0</v>
      </c>
      <c r="B154" s="17">
        <f t="shared" si="41"/>
        <v>0</v>
      </c>
      <c r="C154" s="18">
        <v>0.1</v>
      </c>
      <c r="D154" s="19">
        <v>0.05</v>
      </c>
      <c r="E154" s="20">
        <v>3.0</v>
      </c>
      <c r="F154" s="21" t="str">
        <f t="shared" si="42"/>
        <v>#DIV/0!</v>
      </c>
      <c r="G154" s="22">
        <f t="shared" si="43"/>
        <v>5</v>
      </c>
      <c r="H154" s="23">
        <f t="shared" si="44"/>
        <v>2.5</v>
      </c>
      <c r="I154" s="24">
        <f t="shared" si="45"/>
        <v>0</v>
      </c>
      <c r="J154" s="25"/>
      <c r="K154" s="26"/>
      <c r="L154" s="27">
        <f t="shared" si="46"/>
        <v>50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  <c r="AA154" s="9"/>
      <c r="AB154" s="9"/>
    </row>
    <row r="155" ht="15.75" hidden="1" customHeight="1" outlineLevel="1">
      <c r="A155" s="14">
        <v>46521.0</v>
      </c>
      <c r="B155" s="17">
        <f t="shared" si="41"/>
        <v>0</v>
      </c>
      <c r="C155" s="18">
        <v>0.1</v>
      </c>
      <c r="D155" s="19">
        <v>0.05</v>
      </c>
      <c r="E155" s="20">
        <v>3.0</v>
      </c>
      <c r="F155" s="21" t="str">
        <f t="shared" si="42"/>
        <v>#DIV/0!</v>
      </c>
      <c r="G155" s="22">
        <f t="shared" si="43"/>
        <v>5</v>
      </c>
      <c r="H155" s="23">
        <f t="shared" si="44"/>
        <v>2.5</v>
      </c>
      <c r="I155" s="24">
        <f t="shared" si="45"/>
        <v>0</v>
      </c>
      <c r="J155" s="25"/>
      <c r="K155" s="26"/>
      <c r="L155" s="27">
        <f t="shared" si="46"/>
        <v>50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  <c r="AA155" s="9"/>
      <c r="AB155" s="9"/>
    </row>
    <row r="156" ht="15.75" hidden="1" customHeight="1" outlineLevel="1">
      <c r="A156" s="14">
        <v>46522.0</v>
      </c>
      <c r="B156" s="17">
        <f t="shared" si="41"/>
        <v>0</v>
      </c>
      <c r="C156" s="18">
        <v>0.1</v>
      </c>
      <c r="D156" s="19">
        <v>0.05</v>
      </c>
      <c r="E156" s="20">
        <v>3.0</v>
      </c>
      <c r="F156" s="21" t="str">
        <f t="shared" si="42"/>
        <v>#DIV/0!</v>
      </c>
      <c r="G156" s="22">
        <f t="shared" si="43"/>
        <v>5</v>
      </c>
      <c r="H156" s="23">
        <f t="shared" si="44"/>
        <v>2.5</v>
      </c>
      <c r="I156" s="24">
        <f t="shared" si="45"/>
        <v>0</v>
      </c>
      <c r="J156" s="25"/>
      <c r="K156" s="26"/>
      <c r="L156" s="27">
        <f t="shared" si="46"/>
        <v>50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/>
      <c r="AA156" s="9"/>
      <c r="AB156" s="9"/>
    </row>
    <row r="157" ht="15.75" hidden="1" customHeight="1" outlineLevel="1">
      <c r="A157" s="14">
        <v>46523.0</v>
      </c>
      <c r="B157" s="17">
        <f t="shared" si="41"/>
        <v>0</v>
      </c>
      <c r="C157" s="18">
        <v>0.1</v>
      </c>
      <c r="D157" s="19">
        <v>0.05</v>
      </c>
      <c r="E157" s="20">
        <v>3.0</v>
      </c>
      <c r="F157" s="21" t="str">
        <f t="shared" si="42"/>
        <v>#DIV/0!</v>
      </c>
      <c r="G157" s="22">
        <f t="shared" si="43"/>
        <v>5</v>
      </c>
      <c r="H157" s="23">
        <f t="shared" si="44"/>
        <v>2.5</v>
      </c>
      <c r="I157" s="24">
        <f t="shared" si="45"/>
        <v>0</v>
      </c>
      <c r="J157" s="25"/>
      <c r="K157" s="26"/>
      <c r="L157" s="27">
        <f t="shared" si="46"/>
        <v>50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  <c r="AA157" s="9"/>
      <c r="AB157" s="9"/>
    </row>
    <row r="158" ht="15.75" hidden="1" customHeight="1" outlineLevel="1">
      <c r="A158" s="14">
        <v>46524.0</v>
      </c>
      <c r="B158" s="17">
        <f t="shared" si="41"/>
        <v>0</v>
      </c>
      <c r="C158" s="18">
        <v>0.1</v>
      </c>
      <c r="D158" s="19">
        <v>0.05</v>
      </c>
      <c r="E158" s="20">
        <v>3.0</v>
      </c>
      <c r="F158" s="21" t="str">
        <f t="shared" si="42"/>
        <v>#DIV/0!</v>
      </c>
      <c r="G158" s="22">
        <f t="shared" si="43"/>
        <v>5</v>
      </c>
      <c r="H158" s="23">
        <f t="shared" si="44"/>
        <v>2.5</v>
      </c>
      <c r="I158" s="24">
        <f t="shared" si="45"/>
        <v>0</v>
      </c>
      <c r="J158" s="25"/>
      <c r="K158" s="26"/>
      <c r="L158" s="27">
        <f t="shared" si="46"/>
        <v>50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  <c r="AA158" s="9"/>
      <c r="AB158" s="9"/>
    </row>
    <row r="159" ht="15.75" hidden="1" customHeight="1" outlineLevel="1">
      <c r="A159" s="14">
        <v>46525.0</v>
      </c>
      <c r="B159" s="17">
        <f t="shared" si="41"/>
        <v>0</v>
      </c>
      <c r="C159" s="18">
        <v>0.1</v>
      </c>
      <c r="D159" s="19">
        <v>0.05</v>
      </c>
      <c r="E159" s="20">
        <v>3.0</v>
      </c>
      <c r="F159" s="21" t="str">
        <f t="shared" si="42"/>
        <v>#DIV/0!</v>
      </c>
      <c r="G159" s="22">
        <f t="shared" si="43"/>
        <v>5</v>
      </c>
      <c r="H159" s="23">
        <f t="shared" si="44"/>
        <v>2.5</v>
      </c>
      <c r="I159" s="24">
        <f t="shared" si="45"/>
        <v>0</v>
      </c>
      <c r="J159" s="25"/>
      <c r="K159" s="26"/>
      <c r="L159" s="27">
        <f t="shared" si="46"/>
        <v>50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  <c r="AA159" s="9"/>
      <c r="AB159" s="9"/>
    </row>
    <row r="160" ht="15.75" hidden="1" customHeight="1" outlineLevel="1">
      <c r="A160" s="14">
        <v>46526.0</v>
      </c>
      <c r="B160" s="17">
        <f t="shared" si="41"/>
        <v>0</v>
      </c>
      <c r="C160" s="18">
        <v>0.1</v>
      </c>
      <c r="D160" s="19">
        <v>0.05</v>
      </c>
      <c r="E160" s="20">
        <v>3.0</v>
      </c>
      <c r="F160" s="21" t="str">
        <f t="shared" si="42"/>
        <v>#DIV/0!</v>
      </c>
      <c r="G160" s="22">
        <f t="shared" si="43"/>
        <v>5</v>
      </c>
      <c r="H160" s="23">
        <f t="shared" si="44"/>
        <v>2.5</v>
      </c>
      <c r="I160" s="24">
        <f t="shared" si="45"/>
        <v>0</v>
      </c>
      <c r="J160" s="25"/>
      <c r="K160" s="26"/>
      <c r="L160" s="27">
        <f t="shared" si="46"/>
        <v>50</v>
      </c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  <c r="AA160" s="9"/>
      <c r="AB160" s="9"/>
    </row>
    <row r="161" ht="15.75" hidden="1" customHeight="1" outlineLevel="1">
      <c r="A161" s="14">
        <v>46527.0</v>
      </c>
      <c r="B161" s="17">
        <f t="shared" si="41"/>
        <v>0</v>
      </c>
      <c r="C161" s="18">
        <v>0.1</v>
      </c>
      <c r="D161" s="19">
        <v>0.05</v>
      </c>
      <c r="E161" s="20">
        <v>3.0</v>
      </c>
      <c r="F161" s="21" t="str">
        <f t="shared" si="42"/>
        <v>#DIV/0!</v>
      </c>
      <c r="G161" s="22">
        <f t="shared" si="43"/>
        <v>5</v>
      </c>
      <c r="H161" s="23">
        <f t="shared" si="44"/>
        <v>2.5</v>
      </c>
      <c r="I161" s="24">
        <f t="shared" si="45"/>
        <v>0</v>
      </c>
      <c r="J161" s="25"/>
      <c r="K161" s="26"/>
      <c r="L161" s="27">
        <f t="shared" si="46"/>
        <v>50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  <c r="AA161" s="9"/>
      <c r="AB161" s="9"/>
    </row>
    <row r="162" ht="15.75" hidden="1" customHeight="1" outlineLevel="1">
      <c r="A162" s="14">
        <v>46528.0</v>
      </c>
      <c r="B162" s="17">
        <f t="shared" si="41"/>
        <v>0</v>
      </c>
      <c r="C162" s="18">
        <v>0.1</v>
      </c>
      <c r="D162" s="19">
        <v>0.05</v>
      </c>
      <c r="E162" s="20">
        <v>3.0</v>
      </c>
      <c r="F162" s="21" t="str">
        <f t="shared" si="42"/>
        <v>#DIV/0!</v>
      </c>
      <c r="G162" s="22">
        <f t="shared" si="43"/>
        <v>5</v>
      </c>
      <c r="H162" s="23">
        <f t="shared" si="44"/>
        <v>2.5</v>
      </c>
      <c r="I162" s="24">
        <f t="shared" si="45"/>
        <v>0</v>
      </c>
      <c r="J162" s="25"/>
      <c r="K162" s="26"/>
      <c r="L162" s="27">
        <f t="shared" si="46"/>
        <v>50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  <c r="AA162" s="9"/>
      <c r="AB162" s="9"/>
    </row>
    <row r="163" ht="15.75" hidden="1" customHeight="1" outlineLevel="1">
      <c r="A163" s="14">
        <v>46529.0</v>
      </c>
      <c r="B163" s="17">
        <f t="shared" si="41"/>
        <v>0</v>
      </c>
      <c r="C163" s="18">
        <v>0.1</v>
      </c>
      <c r="D163" s="19">
        <v>0.05</v>
      </c>
      <c r="E163" s="20">
        <v>3.0</v>
      </c>
      <c r="F163" s="21" t="str">
        <f t="shared" si="42"/>
        <v>#DIV/0!</v>
      </c>
      <c r="G163" s="22">
        <f t="shared" si="43"/>
        <v>5</v>
      </c>
      <c r="H163" s="23">
        <f t="shared" si="44"/>
        <v>2.5</v>
      </c>
      <c r="I163" s="24">
        <f t="shared" si="45"/>
        <v>0</v>
      </c>
      <c r="J163" s="25"/>
      <c r="K163" s="26"/>
      <c r="L163" s="27">
        <f t="shared" si="46"/>
        <v>50</v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  <c r="AA163" s="9"/>
      <c r="AB163" s="9"/>
    </row>
    <row r="164" ht="15.75" hidden="1" customHeight="1" outlineLevel="1">
      <c r="A164" s="14">
        <v>46530.0</v>
      </c>
      <c r="B164" s="17">
        <f t="shared" si="41"/>
        <v>0</v>
      </c>
      <c r="C164" s="18">
        <v>0.1</v>
      </c>
      <c r="D164" s="19">
        <v>0.05</v>
      </c>
      <c r="E164" s="20">
        <v>3.0</v>
      </c>
      <c r="F164" s="21" t="str">
        <f t="shared" si="42"/>
        <v>#DIV/0!</v>
      </c>
      <c r="G164" s="22">
        <f t="shared" si="43"/>
        <v>5</v>
      </c>
      <c r="H164" s="23">
        <f t="shared" si="44"/>
        <v>2.5</v>
      </c>
      <c r="I164" s="24">
        <f t="shared" si="45"/>
        <v>0</v>
      </c>
      <c r="J164" s="25"/>
      <c r="K164" s="26"/>
      <c r="L164" s="27">
        <f t="shared" si="46"/>
        <v>50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"/>
      <c r="AA164" s="9"/>
      <c r="AB164" s="9"/>
    </row>
    <row r="165" ht="15.75" hidden="1" customHeight="1" outlineLevel="1">
      <c r="A165" s="14">
        <v>46531.0</v>
      </c>
      <c r="B165" s="17">
        <f t="shared" si="41"/>
        <v>0</v>
      </c>
      <c r="C165" s="18">
        <v>0.1</v>
      </c>
      <c r="D165" s="19">
        <v>0.05</v>
      </c>
      <c r="E165" s="20">
        <v>3.0</v>
      </c>
      <c r="F165" s="21" t="str">
        <f t="shared" si="42"/>
        <v>#DIV/0!</v>
      </c>
      <c r="G165" s="22">
        <f t="shared" si="43"/>
        <v>5</v>
      </c>
      <c r="H165" s="23">
        <f t="shared" si="44"/>
        <v>2.5</v>
      </c>
      <c r="I165" s="24">
        <f t="shared" si="45"/>
        <v>0</v>
      </c>
      <c r="J165" s="25"/>
      <c r="K165" s="26"/>
      <c r="L165" s="27">
        <f t="shared" si="46"/>
        <v>50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  <c r="AA165" s="9"/>
      <c r="AB165" s="9"/>
    </row>
    <row r="166" ht="15.75" hidden="1" customHeight="1" outlineLevel="1">
      <c r="A166" s="14">
        <v>46532.0</v>
      </c>
      <c r="B166" s="17">
        <f t="shared" si="41"/>
        <v>0</v>
      </c>
      <c r="C166" s="18">
        <v>0.1</v>
      </c>
      <c r="D166" s="19">
        <v>0.05</v>
      </c>
      <c r="E166" s="20">
        <v>3.0</v>
      </c>
      <c r="F166" s="21" t="str">
        <f t="shared" si="42"/>
        <v>#DIV/0!</v>
      </c>
      <c r="G166" s="22">
        <f t="shared" si="43"/>
        <v>5</v>
      </c>
      <c r="H166" s="23">
        <f t="shared" si="44"/>
        <v>2.5</v>
      </c>
      <c r="I166" s="24">
        <f t="shared" si="45"/>
        <v>0</v>
      </c>
      <c r="J166" s="25"/>
      <c r="K166" s="26"/>
      <c r="L166" s="27">
        <f t="shared" si="46"/>
        <v>50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  <c r="AA166" s="9"/>
      <c r="AB166" s="9"/>
    </row>
    <row r="167" ht="15.75" hidden="1" customHeight="1" outlineLevel="1">
      <c r="A167" s="14">
        <v>46533.0</v>
      </c>
      <c r="B167" s="17">
        <f t="shared" si="41"/>
        <v>0</v>
      </c>
      <c r="C167" s="18">
        <v>0.1</v>
      </c>
      <c r="D167" s="19">
        <v>0.05</v>
      </c>
      <c r="E167" s="20">
        <v>3.0</v>
      </c>
      <c r="F167" s="21" t="str">
        <f t="shared" si="42"/>
        <v>#DIV/0!</v>
      </c>
      <c r="G167" s="22">
        <f t="shared" si="43"/>
        <v>5</v>
      </c>
      <c r="H167" s="23">
        <f t="shared" si="44"/>
        <v>2.5</v>
      </c>
      <c r="I167" s="24">
        <f t="shared" si="45"/>
        <v>0</v>
      </c>
      <c r="J167" s="25"/>
      <c r="K167" s="26"/>
      <c r="L167" s="27">
        <f t="shared" si="46"/>
        <v>50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  <c r="AA167" s="9"/>
      <c r="AB167" s="9"/>
    </row>
    <row r="168" ht="15.75" hidden="1" customHeight="1" outlineLevel="1">
      <c r="A168" s="14">
        <v>46534.0</v>
      </c>
      <c r="B168" s="17">
        <f t="shared" si="41"/>
        <v>0</v>
      </c>
      <c r="C168" s="18">
        <v>0.1</v>
      </c>
      <c r="D168" s="19">
        <v>0.05</v>
      </c>
      <c r="E168" s="20">
        <v>3.0</v>
      </c>
      <c r="F168" s="21" t="str">
        <f t="shared" si="42"/>
        <v>#DIV/0!</v>
      </c>
      <c r="G168" s="22">
        <f t="shared" si="43"/>
        <v>5</v>
      </c>
      <c r="H168" s="23">
        <f t="shared" si="44"/>
        <v>2.5</v>
      </c>
      <c r="I168" s="24">
        <f t="shared" si="45"/>
        <v>0</v>
      </c>
      <c r="J168" s="25"/>
      <c r="K168" s="26"/>
      <c r="L168" s="27">
        <f t="shared" si="46"/>
        <v>50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/>
      <c r="AA168" s="9"/>
      <c r="AB168" s="9"/>
    </row>
    <row r="169" ht="15.75" hidden="1" customHeight="1" outlineLevel="1">
      <c r="A169" s="14">
        <v>46535.0</v>
      </c>
      <c r="B169" s="17">
        <f t="shared" si="41"/>
        <v>0</v>
      </c>
      <c r="C169" s="18">
        <v>0.1</v>
      </c>
      <c r="D169" s="19">
        <v>0.05</v>
      </c>
      <c r="E169" s="20">
        <v>3.0</v>
      </c>
      <c r="F169" s="21" t="str">
        <f t="shared" si="42"/>
        <v>#DIV/0!</v>
      </c>
      <c r="G169" s="22">
        <f t="shared" si="43"/>
        <v>5</v>
      </c>
      <c r="H169" s="23">
        <f t="shared" si="44"/>
        <v>2.5</v>
      </c>
      <c r="I169" s="24">
        <f t="shared" si="45"/>
        <v>0</v>
      </c>
      <c r="J169" s="25"/>
      <c r="K169" s="26"/>
      <c r="L169" s="27">
        <f t="shared" si="46"/>
        <v>50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/>
      <c r="AA169" s="9"/>
      <c r="AB169" s="9"/>
    </row>
    <row r="170" ht="15.75" hidden="1" customHeight="1" outlineLevel="1">
      <c r="A170" s="14">
        <v>46536.0</v>
      </c>
      <c r="B170" s="17">
        <f t="shared" si="41"/>
        <v>0</v>
      </c>
      <c r="C170" s="18">
        <v>0.1</v>
      </c>
      <c r="D170" s="19">
        <v>0.05</v>
      </c>
      <c r="E170" s="20">
        <v>3.0</v>
      </c>
      <c r="F170" s="21" t="str">
        <f t="shared" si="42"/>
        <v>#DIV/0!</v>
      </c>
      <c r="G170" s="22">
        <f t="shared" si="43"/>
        <v>5</v>
      </c>
      <c r="H170" s="23">
        <f t="shared" si="44"/>
        <v>2.5</v>
      </c>
      <c r="I170" s="24">
        <f t="shared" si="45"/>
        <v>0</v>
      </c>
      <c r="J170" s="25"/>
      <c r="K170" s="26"/>
      <c r="L170" s="27">
        <f t="shared" si="46"/>
        <v>50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"/>
      <c r="AA170" s="9"/>
      <c r="AB170" s="9"/>
    </row>
    <row r="171" ht="15.75" hidden="1" customHeight="1" outlineLevel="1">
      <c r="A171" s="14">
        <v>46537.0</v>
      </c>
      <c r="B171" s="17">
        <f t="shared" si="41"/>
        <v>0</v>
      </c>
      <c r="C171" s="18">
        <v>0.1</v>
      </c>
      <c r="D171" s="19">
        <v>0.05</v>
      </c>
      <c r="E171" s="20">
        <v>3.0</v>
      </c>
      <c r="F171" s="21" t="str">
        <f t="shared" si="42"/>
        <v>#DIV/0!</v>
      </c>
      <c r="G171" s="22">
        <f t="shared" si="43"/>
        <v>5</v>
      </c>
      <c r="H171" s="23">
        <f t="shared" si="44"/>
        <v>2.5</v>
      </c>
      <c r="I171" s="24">
        <f t="shared" si="45"/>
        <v>0</v>
      </c>
      <c r="J171" s="25"/>
      <c r="K171" s="26"/>
      <c r="L171" s="27">
        <f t="shared" si="46"/>
        <v>50</v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"/>
      <c r="AA171" s="9"/>
      <c r="AB171" s="9"/>
    </row>
    <row r="172" ht="15.75" hidden="1" customHeight="1" outlineLevel="1">
      <c r="A172" s="14">
        <v>46538.0</v>
      </c>
      <c r="B172" s="17">
        <f t="shared" si="41"/>
        <v>0</v>
      </c>
      <c r="C172" s="18">
        <v>0.1</v>
      </c>
      <c r="D172" s="19">
        <v>0.05</v>
      </c>
      <c r="E172" s="20">
        <v>3.0</v>
      </c>
      <c r="F172" s="21" t="str">
        <f t="shared" si="42"/>
        <v>#DIV/0!</v>
      </c>
      <c r="G172" s="22">
        <f t="shared" si="43"/>
        <v>5</v>
      </c>
      <c r="H172" s="23">
        <f t="shared" si="44"/>
        <v>2.5</v>
      </c>
      <c r="I172" s="24">
        <f t="shared" si="45"/>
        <v>0</v>
      </c>
      <c r="J172" s="25"/>
      <c r="K172" s="26"/>
      <c r="L172" s="27">
        <f t="shared" si="46"/>
        <v>50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  <c r="AA172" s="9"/>
      <c r="AB172" s="9"/>
    </row>
    <row r="173" ht="15.75" hidden="1" customHeight="1" outlineLevel="1">
      <c r="A173" s="28" t="s">
        <v>18</v>
      </c>
      <c r="C173" s="29">
        <f>SUM(C142:C172)</f>
        <v>3.1</v>
      </c>
      <c r="D173" s="30"/>
      <c r="E173" s="30"/>
      <c r="F173" s="30"/>
      <c r="G173" s="30"/>
      <c r="H173" s="30"/>
      <c r="I173" s="30" t="str">
        <f t="shared" ref="I173:K173" si="47">SUM(I142:I172)</f>
        <v>#DIV/0!</v>
      </c>
      <c r="J173" s="32">
        <f t="shared" si="47"/>
        <v>0</v>
      </c>
      <c r="K173" s="30">
        <f t="shared" si="47"/>
        <v>0</v>
      </c>
      <c r="L173" s="32">
        <f>L172</f>
        <v>50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  <c r="AA173" s="9"/>
      <c r="AB173" s="9"/>
    </row>
    <row r="174" ht="15.75" customHeight="1">
      <c r="A174" s="38"/>
      <c r="B174" s="35"/>
      <c r="C174" s="35"/>
      <c r="D174" s="35"/>
      <c r="E174" s="35"/>
      <c r="F174" s="35"/>
      <c r="G174" s="35"/>
      <c r="H174" s="35"/>
      <c r="I174" s="35"/>
      <c r="J174" s="35"/>
      <c r="K174" s="37">
        <f>SUM(K142:K172)</f>
        <v>0</v>
      </c>
      <c r="L174" s="35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  <c r="AA174" s="9"/>
      <c r="AB174" s="9"/>
    </row>
    <row r="175" ht="15.75" customHeight="1" collapsed="1">
      <c r="A175" s="1" t="s">
        <v>24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  <c r="AA175" s="9"/>
      <c r="AB175" s="9"/>
    </row>
    <row r="176" ht="15.75" hidden="1" customHeight="1" outlineLevel="1">
      <c r="A176" s="14" t="s">
        <v>6</v>
      </c>
      <c r="B176" s="1" t="s">
        <v>7</v>
      </c>
      <c r="C176" s="1" t="s">
        <v>8</v>
      </c>
      <c r="D176" s="15" t="s">
        <v>9</v>
      </c>
      <c r="E176" s="15" t="s">
        <v>10</v>
      </c>
      <c r="F176" s="15" t="s">
        <v>11</v>
      </c>
      <c r="G176" s="16" t="s">
        <v>12</v>
      </c>
      <c r="H176" s="15" t="s">
        <v>13</v>
      </c>
      <c r="I176" s="1" t="s">
        <v>14</v>
      </c>
      <c r="J176" s="17" t="s">
        <v>15</v>
      </c>
      <c r="K176" s="1" t="s">
        <v>16</v>
      </c>
      <c r="L176" s="1" t="s">
        <v>17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  <c r="AA176" s="9"/>
      <c r="AB176" s="9"/>
    </row>
    <row r="177" ht="15.75" hidden="1" customHeight="1" outlineLevel="1">
      <c r="A177" s="14">
        <v>46539.0</v>
      </c>
      <c r="B177" s="17">
        <f t="shared" ref="B177:B206" si="48">ROUND(AVERAGE((H177/1000)/E177), 2)</f>
        <v>0</v>
      </c>
      <c r="C177" s="18">
        <v>0.1</v>
      </c>
      <c r="D177" s="19">
        <v>0.05</v>
      </c>
      <c r="E177" s="20">
        <v>3.0</v>
      </c>
      <c r="F177" s="21" t="str">
        <f t="shared" ref="F177:F206" si="49">H177/B177</f>
        <v>#DIV/0!</v>
      </c>
      <c r="G177" s="22">
        <f>L173*C177</f>
        <v>5</v>
      </c>
      <c r="H177" s="23">
        <f>L173*D177</f>
        <v>2.5</v>
      </c>
      <c r="I177" s="24" t="str">
        <f>(J177/B172)*100</f>
        <v>#DIV/0!</v>
      </c>
      <c r="J177" s="25"/>
      <c r="K177" s="26"/>
      <c r="L177" s="27">
        <f>(L173+J177)-K177</f>
        <v>50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  <c r="AA177" s="9"/>
      <c r="AB177" s="9"/>
    </row>
    <row r="178" ht="15.75" hidden="1" customHeight="1" outlineLevel="1">
      <c r="A178" s="14">
        <v>46540.0</v>
      </c>
      <c r="B178" s="17">
        <f t="shared" si="48"/>
        <v>0</v>
      </c>
      <c r="C178" s="18">
        <v>0.1</v>
      </c>
      <c r="D178" s="19">
        <v>0.05</v>
      </c>
      <c r="E178" s="20">
        <v>3.0</v>
      </c>
      <c r="F178" s="21" t="str">
        <f t="shared" si="49"/>
        <v>#DIV/0!</v>
      </c>
      <c r="G178" s="22">
        <f t="shared" ref="G178:G206" si="50">L177*C178</f>
        <v>5</v>
      </c>
      <c r="H178" s="23">
        <f t="shared" ref="H178:H206" si="51">L177*D178</f>
        <v>2.5</v>
      </c>
      <c r="I178" s="24">
        <f t="shared" ref="I178:I206" si="52">(J178/L177)*100</f>
        <v>0</v>
      </c>
      <c r="J178" s="25"/>
      <c r="K178" s="26"/>
      <c r="L178" s="27">
        <f t="shared" ref="L178:L206" si="53">(L177+J178)-K178</f>
        <v>50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"/>
      <c r="AA178" s="9"/>
      <c r="AB178" s="9"/>
    </row>
    <row r="179" ht="15.75" hidden="1" customHeight="1" outlineLevel="1">
      <c r="A179" s="14">
        <v>46541.0</v>
      </c>
      <c r="B179" s="17">
        <f t="shared" si="48"/>
        <v>0</v>
      </c>
      <c r="C179" s="18">
        <v>0.1</v>
      </c>
      <c r="D179" s="19">
        <v>0.05</v>
      </c>
      <c r="E179" s="20">
        <v>3.0</v>
      </c>
      <c r="F179" s="21" t="str">
        <f t="shared" si="49"/>
        <v>#DIV/0!</v>
      </c>
      <c r="G179" s="22">
        <f t="shared" si="50"/>
        <v>5</v>
      </c>
      <c r="H179" s="23">
        <f t="shared" si="51"/>
        <v>2.5</v>
      </c>
      <c r="I179" s="24">
        <f t="shared" si="52"/>
        <v>0</v>
      </c>
      <c r="J179" s="25"/>
      <c r="K179" s="26"/>
      <c r="L179" s="27">
        <f t="shared" si="53"/>
        <v>50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  <c r="AA179" s="9"/>
      <c r="AB179" s="9"/>
    </row>
    <row r="180" ht="15.75" hidden="1" customHeight="1" outlineLevel="1">
      <c r="A180" s="14">
        <v>46542.0</v>
      </c>
      <c r="B180" s="17">
        <f t="shared" si="48"/>
        <v>0</v>
      </c>
      <c r="C180" s="18">
        <v>0.1</v>
      </c>
      <c r="D180" s="19">
        <v>0.05</v>
      </c>
      <c r="E180" s="20">
        <v>3.0</v>
      </c>
      <c r="F180" s="21" t="str">
        <f t="shared" si="49"/>
        <v>#DIV/0!</v>
      </c>
      <c r="G180" s="22">
        <f t="shared" si="50"/>
        <v>5</v>
      </c>
      <c r="H180" s="23">
        <f t="shared" si="51"/>
        <v>2.5</v>
      </c>
      <c r="I180" s="24">
        <f t="shared" si="52"/>
        <v>0</v>
      </c>
      <c r="J180" s="25"/>
      <c r="K180" s="26"/>
      <c r="L180" s="27">
        <f t="shared" si="53"/>
        <v>50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  <c r="AA180" s="9"/>
      <c r="AB180" s="9"/>
    </row>
    <row r="181" ht="15.75" hidden="1" customHeight="1" outlineLevel="1">
      <c r="A181" s="14">
        <v>46543.0</v>
      </c>
      <c r="B181" s="17">
        <f t="shared" si="48"/>
        <v>0</v>
      </c>
      <c r="C181" s="18">
        <v>0.1</v>
      </c>
      <c r="D181" s="19">
        <v>0.05</v>
      </c>
      <c r="E181" s="20">
        <v>3.0</v>
      </c>
      <c r="F181" s="21" t="str">
        <f t="shared" si="49"/>
        <v>#DIV/0!</v>
      </c>
      <c r="G181" s="22">
        <f t="shared" si="50"/>
        <v>5</v>
      </c>
      <c r="H181" s="23">
        <f t="shared" si="51"/>
        <v>2.5</v>
      </c>
      <c r="I181" s="24">
        <f t="shared" si="52"/>
        <v>0</v>
      </c>
      <c r="J181" s="25"/>
      <c r="K181" s="26"/>
      <c r="L181" s="27">
        <f t="shared" si="53"/>
        <v>50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  <c r="AA181" s="9"/>
      <c r="AB181" s="9"/>
    </row>
    <row r="182" ht="15.75" hidden="1" customHeight="1" outlineLevel="1">
      <c r="A182" s="14">
        <v>46544.0</v>
      </c>
      <c r="B182" s="17">
        <f t="shared" si="48"/>
        <v>0</v>
      </c>
      <c r="C182" s="18">
        <v>0.1</v>
      </c>
      <c r="D182" s="19">
        <v>0.05</v>
      </c>
      <c r="E182" s="20">
        <v>3.0</v>
      </c>
      <c r="F182" s="21" t="str">
        <f t="shared" si="49"/>
        <v>#DIV/0!</v>
      </c>
      <c r="G182" s="22">
        <f t="shared" si="50"/>
        <v>5</v>
      </c>
      <c r="H182" s="23">
        <f t="shared" si="51"/>
        <v>2.5</v>
      </c>
      <c r="I182" s="24">
        <f t="shared" si="52"/>
        <v>0</v>
      </c>
      <c r="J182" s="25"/>
      <c r="K182" s="26"/>
      <c r="L182" s="27">
        <f t="shared" si="53"/>
        <v>50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  <c r="AA182" s="9"/>
      <c r="AB182" s="9"/>
    </row>
    <row r="183" ht="15.75" hidden="1" customHeight="1" outlineLevel="1">
      <c r="A183" s="14">
        <v>46545.0</v>
      </c>
      <c r="B183" s="17">
        <f t="shared" si="48"/>
        <v>0</v>
      </c>
      <c r="C183" s="18">
        <v>0.1</v>
      </c>
      <c r="D183" s="19">
        <v>0.05</v>
      </c>
      <c r="E183" s="20">
        <v>3.0</v>
      </c>
      <c r="F183" s="21" t="str">
        <f t="shared" si="49"/>
        <v>#DIV/0!</v>
      </c>
      <c r="G183" s="22">
        <f t="shared" si="50"/>
        <v>5</v>
      </c>
      <c r="H183" s="23">
        <f t="shared" si="51"/>
        <v>2.5</v>
      </c>
      <c r="I183" s="24">
        <f t="shared" si="52"/>
        <v>0</v>
      </c>
      <c r="J183" s="25"/>
      <c r="K183" s="26"/>
      <c r="L183" s="27">
        <f t="shared" si="53"/>
        <v>50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  <c r="AA183" s="9"/>
      <c r="AB183" s="9"/>
    </row>
    <row r="184" ht="15.75" hidden="1" customHeight="1" outlineLevel="1">
      <c r="A184" s="14">
        <v>46546.0</v>
      </c>
      <c r="B184" s="17">
        <f t="shared" si="48"/>
        <v>0</v>
      </c>
      <c r="C184" s="18">
        <v>0.1</v>
      </c>
      <c r="D184" s="19">
        <v>0.05</v>
      </c>
      <c r="E184" s="20">
        <v>3.0</v>
      </c>
      <c r="F184" s="21" t="str">
        <f t="shared" si="49"/>
        <v>#DIV/0!</v>
      </c>
      <c r="G184" s="22">
        <f t="shared" si="50"/>
        <v>5</v>
      </c>
      <c r="H184" s="23">
        <f t="shared" si="51"/>
        <v>2.5</v>
      </c>
      <c r="I184" s="24">
        <f t="shared" si="52"/>
        <v>0</v>
      </c>
      <c r="J184" s="25"/>
      <c r="K184" s="26"/>
      <c r="L184" s="27">
        <f t="shared" si="53"/>
        <v>50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"/>
      <c r="AA184" s="9"/>
      <c r="AB184" s="9"/>
    </row>
    <row r="185" ht="15.75" hidden="1" customHeight="1" outlineLevel="1">
      <c r="A185" s="14">
        <v>46547.0</v>
      </c>
      <c r="B185" s="17">
        <f t="shared" si="48"/>
        <v>0</v>
      </c>
      <c r="C185" s="18">
        <v>0.1</v>
      </c>
      <c r="D185" s="19">
        <v>0.05</v>
      </c>
      <c r="E185" s="20">
        <v>3.0</v>
      </c>
      <c r="F185" s="21" t="str">
        <f t="shared" si="49"/>
        <v>#DIV/0!</v>
      </c>
      <c r="G185" s="22">
        <f t="shared" si="50"/>
        <v>5</v>
      </c>
      <c r="H185" s="23">
        <f t="shared" si="51"/>
        <v>2.5</v>
      </c>
      <c r="I185" s="24">
        <f t="shared" si="52"/>
        <v>0</v>
      </c>
      <c r="J185" s="25"/>
      <c r="K185" s="26"/>
      <c r="L185" s="27">
        <f t="shared" si="53"/>
        <v>50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  <c r="AA185" s="9"/>
      <c r="AB185" s="9"/>
    </row>
    <row r="186" ht="15.75" hidden="1" customHeight="1" outlineLevel="1">
      <c r="A186" s="14">
        <v>46548.0</v>
      </c>
      <c r="B186" s="17">
        <f t="shared" si="48"/>
        <v>0</v>
      </c>
      <c r="C186" s="18">
        <v>0.1</v>
      </c>
      <c r="D186" s="19">
        <v>0.05</v>
      </c>
      <c r="E186" s="20">
        <v>3.0</v>
      </c>
      <c r="F186" s="21" t="str">
        <f t="shared" si="49"/>
        <v>#DIV/0!</v>
      </c>
      <c r="G186" s="22">
        <f t="shared" si="50"/>
        <v>5</v>
      </c>
      <c r="H186" s="23">
        <f t="shared" si="51"/>
        <v>2.5</v>
      </c>
      <c r="I186" s="24">
        <f t="shared" si="52"/>
        <v>0</v>
      </c>
      <c r="J186" s="25"/>
      <c r="K186" s="26"/>
      <c r="L186" s="27">
        <f t="shared" si="53"/>
        <v>50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  <c r="AA186" s="9"/>
      <c r="AB186" s="9"/>
    </row>
    <row r="187" ht="15.75" hidden="1" customHeight="1" outlineLevel="1">
      <c r="A187" s="14">
        <v>46549.0</v>
      </c>
      <c r="B187" s="17">
        <f t="shared" si="48"/>
        <v>0</v>
      </c>
      <c r="C187" s="18">
        <v>0.1</v>
      </c>
      <c r="D187" s="19">
        <v>0.05</v>
      </c>
      <c r="E187" s="20">
        <v>3.0</v>
      </c>
      <c r="F187" s="21" t="str">
        <f t="shared" si="49"/>
        <v>#DIV/0!</v>
      </c>
      <c r="G187" s="22">
        <f t="shared" si="50"/>
        <v>5</v>
      </c>
      <c r="H187" s="23">
        <f t="shared" si="51"/>
        <v>2.5</v>
      </c>
      <c r="I187" s="24">
        <f t="shared" si="52"/>
        <v>0</v>
      </c>
      <c r="J187" s="25"/>
      <c r="K187" s="26"/>
      <c r="L187" s="27">
        <f t="shared" si="53"/>
        <v>50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  <c r="AA187" s="9"/>
      <c r="AB187" s="9"/>
    </row>
    <row r="188" ht="15.75" hidden="1" customHeight="1" outlineLevel="1">
      <c r="A188" s="14">
        <v>46550.0</v>
      </c>
      <c r="B188" s="17">
        <f t="shared" si="48"/>
        <v>0</v>
      </c>
      <c r="C188" s="18">
        <v>0.1</v>
      </c>
      <c r="D188" s="19">
        <v>0.05</v>
      </c>
      <c r="E188" s="20">
        <v>3.0</v>
      </c>
      <c r="F188" s="21" t="str">
        <f t="shared" si="49"/>
        <v>#DIV/0!</v>
      </c>
      <c r="G188" s="22">
        <f t="shared" si="50"/>
        <v>5</v>
      </c>
      <c r="H188" s="23">
        <f t="shared" si="51"/>
        <v>2.5</v>
      </c>
      <c r="I188" s="24">
        <f t="shared" si="52"/>
        <v>0</v>
      </c>
      <c r="J188" s="25"/>
      <c r="K188" s="26"/>
      <c r="L188" s="27">
        <f t="shared" si="53"/>
        <v>50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/>
      <c r="AA188" s="9"/>
      <c r="AB188" s="9"/>
    </row>
    <row r="189" ht="15.75" hidden="1" customHeight="1" outlineLevel="1">
      <c r="A189" s="14">
        <v>46551.0</v>
      </c>
      <c r="B189" s="17">
        <f t="shared" si="48"/>
        <v>0</v>
      </c>
      <c r="C189" s="18">
        <v>0.1</v>
      </c>
      <c r="D189" s="19">
        <v>0.05</v>
      </c>
      <c r="E189" s="20">
        <v>3.0</v>
      </c>
      <c r="F189" s="21" t="str">
        <f t="shared" si="49"/>
        <v>#DIV/0!</v>
      </c>
      <c r="G189" s="22">
        <f t="shared" si="50"/>
        <v>5</v>
      </c>
      <c r="H189" s="23">
        <f t="shared" si="51"/>
        <v>2.5</v>
      </c>
      <c r="I189" s="24">
        <f t="shared" si="52"/>
        <v>0</v>
      </c>
      <c r="J189" s="25"/>
      <c r="K189" s="26"/>
      <c r="L189" s="27">
        <f t="shared" si="53"/>
        <v>50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/>
      <c r="AA189" s="9"/>
      <c r="AB189" s="9"/>
    </row>
    <row r="190" ht="15.75" hidden="1" customHeight="1" outlineLevel="1">
      <c r="A190" s="14">
        <v>46552.0</v>
      </c>
      <c r="B190" s="17">
        <f t="shared" si="48"/>
        <v>0</v>
      </c>
      <c r="C190" s="18">
        <v>0.1</v>
      </c>
      <c r="D190" s="19">
        <v>0.05</v>
      </c>
      <c r="E190" s="20">
        <v>3.0</v>
      </c>
      <c r="F190" s="21" t="str">
        <f t="shared" si="49"/>
        <v>#DIV/0!</v>
      </c>
      <c r="G190" s="22">
        <f t="shared" si="50"/>
        <v>5</v>
      </c>
      <c r="H190" s="23">
        <f t="shared" si="51"/>
        <v>2.5</v>
      </c>
      <c r="I190" s="24">
        <f t="shared" si="52"/>
        <v>0</v>
      </c>
      <c r="J190" s="25"/>
      <c r="K190" s="26"/>
      <c r="L190" s="27">
        <f t="shared" si="53"/>
        <v>50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/>
      <c r="AA190" s="9"/>
      <c r="AB190" s="9"/>
    </row>
    <row r="191" ht="15.75" hidden="1" customHeight="1" outlineLevel="1">
      <c r="A191" s="14">
        <v>46553.0</v>
      </c>
      <c r="B191" s="17">
        <f t="shared" si="48"/>
        <v>0</v>
      </c>
      <c r="C191" s="18">
        <v>0.1</v>
      </c>
      <c r="D191" s="19">
        <v>0.05</v>
      </c>
      <c r="E191" s="20">
        <v>3.0</v>
      </c>
      <c r="F191" s="21" t="str">
        <f t="shared" si="49"/>
        <v>#DIV/0!</v>
      </c>
      <c r="G191" s="22">
        <f t="shared" si="50"/>
        <v>5</v>
      </c>
      <c r="H191" s="23">
        <f t="shared" si="51"/>
        <v>2.5</v>
      </c>
      <c r="I191" s="24">
        <f t="shared" si="52"/>
        <v>0</v>
      </c>
      <c r="J191" s="25"/>
      <c r="K191" s="26"/>
      <c r="L191" s="27">
        <f t="shared" si="53"/>
        <v>50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  <c r="AA191" s="9"/>
      <c r="AB191" s="9"/>
    </row>
    <row r="192" ht="15.75" hidden="1" customHeight="1" outlineLevel="1">
      <c r="A192" s="14">
        <v>46554.0</v>
      </c>
      <c r="B192" s="17">
        <f t="shared" si="48"/>
        <v>0</v>
      </c>
      <c r="C192" s="18">
        <v>0.1</v>
      </c>
      <c r="D192" s="19">
        <v>0.05</v>
      </c>
      <c r="E192" s="20">
        <v>3.0</v>
      </c>
      <c r="F192" s="21" t="str">
        <f t="shared" si="49"/>
        <v>#DIV/0!</v>
      </c>
      <c r="G192" s="22">
        <f t="shared" si="50"/>
        <v>5</v>
      </c>
      <c r="H192" s="23">
        <f t="shared" si="51"/>
        <v>2.5</v>
      </c>
      <c r="I192" s="24">
        <f t="shared" si="52"/>
        <v>0</v>
      </c>
      <c r="J192" s="25"/>
      <c r="K192" s="26"/>
      <c r="L192" s="27">
        <f t="shared" si="53"/>
        <v>50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  <c r="AA192" s="9"/>
      <c r="AB192" s="9"/>
    </row>
    <row r="193" ht="15.75" hidden="1" customHeight="1" outlineLevel="1">
      <c r="A193" s="14">
        <v>46555.0</v>
      </c>
      <c r="B193" s="17">
        <f t="shared" si="48"/>
        <v>0</v>
      </c>
      <c r="C193" s="18">
        <v>0.1</v>
      </c>
      <c r="D193" s="19">
        <v>0.05</v>
      </c>
      <c r="E193" s="20">
        <v>3.0</v>
      </c>
      <c r="F193" s="21" t="str">
        <f t="shared" si="49"/>
        <v>#DIV/0!</v>
      </c>
      <c r="G193" s="22">
        <f t="shared" si="50"/>
        <v>5</v>
      </c>
      <c r="H193" s="23">
        <f t="shared" si="51"/>
        <v>2.5</v>
      </c>
      <c r="I193" s="24">
        <f t="shared" si="52"/>
        <v>0</v>
      </c>
      <c r="J193" s="25"/>
      <c r="K193" s="26"/>
      <c r="L193" s="27">
        <f t="shared" si="53"/>
        <v>50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  <c r="AA193" s="9"/>
      <c r="AB193" s="9"/>
    </row>
    <row r="194" ht="15.75" hidden="1" customHeight="1" outlineLevel="1">
      <c r="A194" s="14">
        <v>46556.0</v>
      </c>
      <c r="B194" s="17">
        <f t="shared" si="48"/>
        <v>0</v>
      </c>
      <c r="C194" s="18">
        <v>0.1</v>
      </c>
      <c r="D194" s="19">
        <v>0.05</v>
      </c>
      <c r="E194" s="20">
        <v>3.0</v>
      </c>
      <c r="F194" s="21" t="str">
        <f t="shared" si="49"/>
        <v>#DIV/0!</v>
      </c>
      <c r="G194" s="22">
        <f t="shared" si="50"/>
        <v>5</v>
      </c>
      <c r="H194" s="23">
        <f t="shared" si="51"/>
        <v>2.5</v>
      </c>
      <c r="I194" s="24">
        <f t="shared" si="52"/>
        <v>0</v>
      </c>
      <c r="J194" s="25"/>
      <c r="K194" s="26"/>
      <c r="L194" s="27">
        <f t="shared" si="53"/>
        <v>50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  <c r="AA194" s="9"/>
      <c r="AB194" s="9"/>
    </row>
    <row r="195" ht="15.75" hidden="1" customHeight="1" outlineLevel="1">
      <c r="A195" s="14">
        <v>46557.0</v>
      </c>
      <c r="B195" s="17">
        <f t="shared" si="48"/>
        <v>0</v>
      </c>
      <c r="C195" s="18">
        <v>0.1</v>
      </c>
      <c r="D195" s="19">
        <v>0.05</v>
      </c>
      <c r="E195" s="20">
        <v>3.0</v>
      </c>
      <c r="F195" s="21" t="str">
        <f t="shared" si="49"/>
        <v>#DIV/0!</v>
      </c>
      <c r="G195" s="22">
        <f t="shared" si="50"/>
        <v>5</v>
      </c>
      <c r="H195" s="23">
        <f t="shared" si="51"/>
        <v>2.5</v>
      </c>
      <c r="I195" s="24">
        <f t="shared" si="52"/>
        <v>0</v>
      </c>
      <c r="J195" s="25"/>
      <c r="K195" s="26"/>
      <c r="L195" s="27">
        <f t="shared" si="53"/>
        <v>50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  <c r="AA195" s="9"/>
      <c r="AB195" s="9"/>
    </row>
    <row r="196" ht="15.75" hidden="1" customHeight="1" outlineLevel="1">
      <c r="A196" s="14">
        <v>46558.0</v>
      </c>
      <c r="B196" s="17">
        <f t="shared" si="48"/>
        <v>0</v>
      </c>
      <c r="C196" s="18">
        <v>0.1</v>
      </c>
      <c r="D196" s="19">
        <v>0.05</v>
      </c>
      <c r="E196" s="20">
        <v>3.0</v>
      </c>
      <c r="F196" s="21" t="str">
        <f t="shared" si="49"/>
        <v>#DIV/0!</v>
      </c>
      <c r="G196" s="22">
        <f t="shared" si="50"/>
        <v>5</v>
      </c>
      <c r="H196" s="23">
        <f t="shared" si="51"/>
        <v>2.5</v>
      </c>
      <c r="I196" s="24">
        <f t="shared" si="52"/>
        <v>0</v>
      </c>
      <c r="J196" s="25"/>
      <c r="K196" s="26"/>
      <c r="L196" s="27">
        <f t="shared" si="53"/>
        <v>50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  <c r="AA196" s="9"/>
      <c r="AB196" s="9"/>
    </row>
    <row r="197" ht="15.75" hidden="1" customHeight="1" outlineLevel="1">
      <c r="A197" s="14">
        <v>46559.0</v>
      </c>
      <c r="B197" s="17">
        <f t="shared" si="48"/>
        <v>0</v>
      </c>
      <c r="C197" s="18">
        <v>0.1</v>
      </c>
      <c r="D197" s="19">
        <v>0.05</v>
      </c>
      <c r="E197" s="20">
        <v>3.0</v>
      </c>
      <c r="F197" s="21" t="str">
        <f t="shared" si="49"/>
        <v>#DIV/0!</v>
      </c>
      <c r="G197" s="22">
        <f t="shared" si="50"/>
        <v>5</v>
      </c>
      <c r="H197" s="23">
        <f t="shared" si="51"/>
        <v>2.5</v>
      </c>
      <c r="I197" s="24">
        <f t="shared" si="52"/>
        <v>0</v>
      </c>
      <c r="J197" s="25"/>
      <c r="K197" s="26"/>
      <c r="L197" s="27">
        <f t="shared" si="53"/>
        <v>50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  <c r="AA197" s="9"/>
      <c r="AB197" s="9"/>
    </row>
    <row r="198" ht="15.75" hidden="1" customHeight="1" outlineLevel="1">
      <c r="A198" s="14">
        <v>46560.0</v>
      </c>
      <c r="B198" s="17">
        <f t="shared" si="48"/>
        <v>0</v>
      </c>
      <c r="C198" s="18">
        <v>0.1</v>
      </c>
      <c r="D198" s="19">
        <v>0.05</v>
      </c>
      <c r="E198" s="20">
        <v>3.0</v>
      </c>
      <c r="F198" s="21" t="str">
        <f t="shared" si="49"/>
        <v>#DIV/0!</v>
      </c>
      <c r="G198" s="22">
        <f t="shared" si="50"/>
        <v>5</v>
      </c>
      <c r="H198" s="23">
        <f t="shared" si="51"/>
        <v>2.5</v>
      </c>
      <c r="I198" s="24">
        <f t="shared" si="52"/>
        <v>0</v>
      </c>
      <c r="J198" s="25"/>
      <c r="K198" s="26"/>
      <c r="L198" s="27">
        <f t="shared" si="53"/>
        <v>50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  <c r="AA198" s="9"/>
      <c r="AB198" s="9"/>
    </row>
    <row r="199" ht="15.75" hidden="1" customHeight="1" outlineLevel="1">
      <c r="A199" s="14">
        <v>46561.0</v>
      </c>
      <c r="B199" s="17">
        <f t="shared" si="48"/>
        <v>0</v>
      </c>
      <c r="C199" s="18">
        <v>0.1</v>
      </c>
      <c r="D199" s="19">
        <v>0.05</v>
      </c>
      <c r="E199" s="20">
        <v>3.0</v>
      </c>
      <c r="F199" s="21" t="str">
        <f t="shared" si="49"/>
        <v>#DIV/0!</v>
      </c>
      <c r="G199" s="22">
        <f t="shared" si="50"/>
        <v>5</v>
      </c>
      <c r="H199" s="23">
        <f t="shared" si="51"/>
        <v>2.5</v>
      </c>
      <c r="I199" s="24">
        <f t="shared" si="52"/>
        <v>0</v>
      </c>
      <c r="J199" s="25"/>
      <c r="K199" s="26"/>
      <c r="L199" s="27">
        <f t="shared" si="53"/>
        <v>50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  <c r="AA199" s="9"/>
      <c r="AB199" s="9"/>
    </row>
    <row r="200" ht="15.75" hidden="1" customHeight="1" outlineLevel="1">
      <c r="A200" s="14">
        <v>46562.0</v>
      </c>
      <c r="B200" s="17">
        <f t="shared" si="48"/>
        <v>0</v>
      </c>
      <c r="C200" s="18">
        <v>0.1</v>
      </c>
      <c r="D200" s="19">
        <v>0.05</v>
      </c>
      <c r="E200" s="20">
        <v>3.0</v>
      </c>
      <c r="F200" s="21" t="str">
        <f t="shared" si="49"/>
        <v>#DIV/0!</v>
      </c>
      <c r="G200" s="22">
        <f t="shared" si="50"/>
        <v>5</v>
      </c>
      <c r="H200" s="23">
        <f t="shared" si="51"/>
        <v>2.5</v>
      </c>
      <c r="I200" s="24">
        <f t="shared" si="52"/>
        <v>0</v>
      </c>
      <c r="J200" s="25"/>
      <c r="K200" s="26"/>
      <c r="L200" s="27">
        <f t="shared" si="53"/>
        <v>50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  <c r="AA200" s="9"/>
      <c r="AB200" s="9"/>
    </row>
    <row r="201" ht="15.75" hidden="1" customHeight="1" outlineLevel="1">
      <c r="A201" s="14">
        <v>46563.0</v>
      </c>
      <c r="B201" s="17">
        <f t="shared" si="48"/>
        <v>0</v>
      </c>
      <c r="C201" s="18">
        <v>0.1</v>
      </c>
      <c r="D201" s="19">
        <v>0.05</v>
      </c>
      <c r="E201" s="20">
        <v>3.0</v>
      </c>
      <c r="F201" s="21" t="str">
        <f t="shared" si="49"/>
        <v>#DIV/0!</v>
      </c>
      <c r="G201" s="22">
        <f t="shared" si="50"/>
        <v>5</v>
      </c>
      <c r="H201" s="23">
        <f t="shared" si="51"/>
        <v>2.5</v>
      </c>
      <c r="I201" s="24">
        <f t="shared" si="52"/>
        <v>0</v>
      </c>
      <c r="J201" s="25"/>
      <c r="K201" s="26"/>
      <c r="L201" s="27">
        <f t="shared" si="53"/>
        <v>50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  <c r="AA201" s="9"/>
      <c r="AB201" s="9"/>
    </row>
    <row r="202" ht="15.75" hidden="1" customHeight="1" outlineLevel="1">
      <c r="A202" s="14">
        <v>46564.0</v>
      </c>
      <c r="B202" s="17">
        <f t="shared" si="48"/>
        <v>0</v>
      </c>
      <c r="C202" s="18">
        <v>0.1</v>
      </c>
      <c r="D202" s="19">
        <v>0.05</v>
      </c>
      <c r="E202" s="20">
        <v>3.0</v>
      </c>
      <c r="F202" s="21" t="str">
        <f t="shared" si="49"/>
        <v>#DIV/0!</v>
      </c>
      <c r="G202" s="22">
        <f t="shared" si="50"/>
        <v>5</v>
      </c>
      <c r="H202" s="23">
        <f t="shared" si="51"/>
        <v>2.5</v>
      </c>
      <c r="I202" s="24">
        <f t="shared" si="52"/>
        <v>0</v>
      </c>
      <c r="J202" s="25"/>
      <c r="K202" s="26"/>
      <c r="L202" s="27">
        <f t="shared" si="53"/>
        <v>50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  <c r="AA202" s="9"/>
      <c r="AB202" s="9"/>
    </row>
    <row r="203" ht="15.75" hidden="1" customHeight="1" outlineLevel="1">
      <c r="A203" s="14">
        <v>46565.0</v>
      </c>
      <c r="B203" s="17">
        <f t="shared" si="48"/>
        <v>0</v>
      </c>
      <c r="C203" s="18">
        <v>0.1</v>
      </c>
      <c r="D203" s="19">
        <v>0.05</v>
      </c>
      <c r="E203" s="20">
        <v>3.0</v>
      </c>
      <c r="F203" s="21" t="str">
        <f t="shared" si="49"/>
        <v>#DIV/0!</v>
      </c>
      <c r="G203" s="22">
        <f t="shared" si="50"/>
        <v>5</v>
      </c>
      <c r="H203" s="23">
        <f t="shared" si="51"/>
        <v>2.5</v>
      </c>
      <c r="I203" s="24">
        <f t="shared" si="52"/>
        <v>0</v>
      </c>
      <c r="J203" s="25"/>
      <c r="K203" s="26"/>
      <c r="L203" s="27">
        <f t="shared" si="53"/>
        <v>50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  <c r="AA203" s="9"/>
      <c r="AB203" s="9"/>
    </row>
    <row r="204" ht="15.75" hidden="1" customHeight="1" outlineLevel="1">
      <c r="A204" s="14">
        <v>46566.0</v>
      </c>
      <c r="B204" s="17">
        <f t="shared" si="48"/>
        <v>0</v>
      </c>
      <c r="C204" s="18">
        <v>0.1</v>
      </c>
      <c r="D204" s="19">
        <v>0.05</v>
      </c>
      <c r="E204" s="20">
        <v>3.0</v>
      </c>
      <c r="F204" s="21" t="str">
        <f t="shared" si="49"/>
        <v>#DIV/0!</v>
      </c>
      <c r="G204" s="22">
        <f t="shared" si="50"/>
        <v>5</v>
      </c>
      <c r="H204" s="23">
        <f t="shared" si="51"/>
        <v>2.5</v>
      </c>
      <c r="I204" s="24">
        <f t="shared" si="52"/>
        <v>0</v>
      </c>
      <c r="J204" s="25"/>
      <c r="K204" s="26"/>
      <c r="L204" s="27">
        <f t="shared" si="53"/>
        <v>50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  <c r="AA204" s="9"/>
      <c r="AB204" s="9"/>
    </row>
    <row r="205" ht="15.75" hidden="1" customHeight="1" outlineLevel="1">
      <c r="A205" s="14">
        <v>46567.0</v>
      </c>
      <c r="B205" s="17">
        <f t="shared" si="48"/>
        <v>0</v>
      </c>
      <c r="C205" s="18">
        <v>0.1</v>
      </c>
      <c r="D205" s="19">
        <v>0.05</v>
      </c>
      <c r="E205" s="20">
        <v>3.0</v>
      </c>
      <c r="F205" s="21" t="str">
        <f t="shared" si="49"/>
        <v>#DIV/0!</v>
      </c>
      <c r="G205" s="22">
        <f t="shared" si="50"/>
        <v>5</v>
      </c>
      <c r="H205" s="23">
        <f t="shared" si="51"/>
        <v>2.5</v>
      </c>
      <c r="I205" s="24">
        <f t="shared" si="52"/>
        <v>0</v>
      </c>
      <c r="J205" s="25"/>
      <c r="K205" s="26"/>
      <c r="L205" s="27">
        <f t="shared" si="53"/>
        <v>50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  <c r="AA205" s="9"/>
      <c r="AB205" s="9"/>
    </row>
    <row r="206" ht="15.75" hidden="1" customHeight="1" outlineLevel="1">
      <c r="A206" s="14">
        <v>46568.0</v>
      </c>
      <c r="B206" s="17">
        <f t="shared" si="48"/>
        <v>0</v>
      </c>
      <c r="C206" s="18">
        <v>0.1</v>
      </c>
      <c r="D206" s="19">
        <v>0.05</v>
      </c>
      <c r="E206" s="20">
        <v>3.0</v>
      </c>
      <c r="F206" s="21" t="str">
        <f t="shared" si="49"/>
        <v>#DIV/0!</v>
      </c>
      <c r="G206" s="22">
        <f t="shared" si="50"/>
        <v>5</v>
      </c>
      <c r="H206" s="23">
        <f t="shared" si="51"/>
        <v>2.5</v>
      </c>
      <c r="I206" s="24">
        <f t="shared" si="52"/>
        <v>0</v>
      </c>
      <c r="J206" s="25"/>
      <c r="K206" s="26"/>
      <c r="L206" s="27">
        <f t="shared" si="53"/>
        <v>50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  <c r="AA206" s="9"/>
      <c r="AB206" s="9"/>
    </row>
    <row r="207" ht="15.75" hidden="1" customHeight="1" outlineLevel="1">
      <c r="A207" s="28" t="s">
        <v>18</v>
      </c>
      <c r="C207" s="29">
        <f>SUM(C177:C206)</f>
        <v>3</v>
      </c>
      <c r="D207" s="30"/>
      <c r="E207" s="30"/>
      <c r="F207" s="30"/>
      <c r="G207" s="30"/>
      <c r="H207" s="30"/>
      <c r="I207" s="30" t="str">
        <f t="shared" ref="I207:K207" si="54">SUM(I177:I206)</f>
        <v>#DIV/0!</v>
      </c>
      <c r="J207" s="32">
        <f t="shared" si="54"/>
        <v>0</v>
      </c>
      <c r="K207" s="30">
        <f t="shared" si="54"/>
        <v>0</v>
      </c>
      <c r="L207" s="32">
        <f>L206</f>
        <v>50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  <c r="AA207" s="9"/>
      <c r="AB207" s="9"/>
    </row>
    <row r="208" ht="15.75" customHeight="1">
      <c r="A208" s="38"/>
      <c r="B208" s="35"/>
      <c r="C208" s="35"/>
      <c r="D208" s="35"/>
      <c r="E208" s="35"/>
      <c r="F208" s="35"/>
      <c r="G208" s="35"/>
      <c r="H208" s="35"/>
      <c r="I208" s="35"/>
      <c r="J208" s="35"/>
      <c r="K208" s="37">
        <f>SUM(K177:K206)</f>
        <v>0</v>
      </c>
      <c r="L208" s="35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  <c r="AA208" s="9"/>
      <c r="AB208" s="9"/>
    </row>
    <row r="209" ht="15.75" customHeight="1" collapsed="1">
      <c r="A209" s="1" t="s">
        <v>25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  <c r="AA209" s="9"/>
      <c r="AB209" s="9"/>
    </row>
    <row r="210" ht="15.75" hidden="1" customHeight="1" outlineLevel="1">
      <c r="A210" s="14" t="s">
        <v>6</v>
      </c>
      <c r="B210" s="1" t="s">
        <v>7</v>
      </c>
      <c r="C210" s="1" t="s">
        <v>8</v>
      </c>
      <c r="D210" s="15" t="s">
        <v>9</v>
      </c>
      <c r="E210" s="15" t="s">
        <v>10</v>
      </c>
      <c r="F210" s="15" t="s">
        <v>11</v>
      </c>
      <c r="G210" s="16" t="s">
        <v>12</v>
      </c>
      <c r="H210" s="15" t="s">
        <v>13</v>
      </c>
      <c r="I210" s="1" t="s">
        <v>14</v>
      </c>
      <c r="J210" s="17" t="s">
        <v>15</v>
      </c>
      <c r="K210" s="1" t="s">
        <v>16</v>
      </c>
      <c r="L210" s="1" t="s">
        <v>17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  <c r="AA210" s="9"/>
      <c r="AB210" s="9"/>
    </row>
    <row r="211" ht="15.75" hidden="1" customHeight="1" outlineLevel="1">
      <c r="A211" s="14">
        <v>46569.0</v>
      </c>
      <c r="B211" s="17">
        <f t="shared" ref="B211:B241" si="55">ROUND(AVERAGE((H211/1000)/E211), 2)</f>
        <v>0</v>
      </c>
      <c r="C211" s="18">
        <v>0.1</v>
      </c>
      <c r="D211" s="19">
        <v>0.05</v>
      </c>
      <c r="E211" s="20">
        <v>3.0</v>
      </c>
      <c r="F211" s="21" t="str">
        <f t="shared" ref="F211:F241" si="56">H211/B211</f>
        <v>#DIV/0!</v>
      </c>
      <c r="G211" s="22">
        <f>L207*C211</f>
        <v>5</v>
      </c>
      <c r="H211" s="23">
        <f>L207*D211</f>
        <v>2.5</v>
      </c>
      <c r="I211" s="24" t="str">
        <f>(J211/B206)*100</f>
        <v>#DIV/0!</v>
      </c>
      <c r="J211" s="25"/>
      <c r="K211" s="26"/>
      <c r="L211" s="27">
        <f>(L207+J211)-K211</f>
        <v>50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  <c r="AA211" s="9"/>
      <c r="AB211" s="9"/>
    </row>
    <row r="212" ht="15.75" hidden="1" customHeight="1" outlineLevel="1">
      <c r="A212" s="14">
        <v>46570.0</v>
      </c>
      <c r="B212" s="17">
        <f t="shared" si="55"/>
        <v>0</v>
      </c>
      <c r="C212" s="18">
        <v>0.1</v>
      </c>
      <c r="D212" s="19">
        <v>0.05</v>
      </c>
      <c r="E212" s="20">
        <v>3.0</v>
      </c>
      <c r="F212" s="21" t="str">
        <f t="shared" si="56"/>
        <v>#DIV/0!</v>
      </c>
      <c r="G212" s="22">
        <f t="shared" ref="G212:G241" si="57">L211*C212</f>
        <v>5</v>
      </c>
      <c r="H212" s="23">
        <f t="shared" ref="H212:H241" si="58">L211*D212</f>
        <v>2.5</v>
      </c>
      <c r="I212" s="24">
        <f t="shared" ref="I212:I241" si="59">(J212/L211)*100</f>
        <v>0</v>
      </c>
      <c r="J212" s="25"/>
      <c r="K212" s="26"/>
      <c r="L212" s="27">
        <f t="shared" ref="L212:L241" si="60">(L211+J212)-K212</f>
        <v>50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/>
      <c r="AA212" s="9"/>
      <c r="AB212" s="9"/>
    </row>
    <row r="213" ht="15.75" hidden="1" customHeight="1" outlineLevel="1">
      <c r="A213" s="14">
        <v>46571.0</v>
      </c>
      <c r="B213" s="17">
        <f t="shared" si="55"/>
        <v>0</v>
      </c>
      <c r="C213" s="18">
        <v>0.1</v>
      </c>
      <c r="D213" s="19">
        <v>0.05</v>
      </c>
      <c r="E213" s="20">
        <v>3.0</v>
      </c>
      <c r="F213" s="21" t="str">
        <f t="shared" si="56"/>
        <v>#DIV/0!</v>
      </c>
      <c r="G213" s="22">
        <f t="shared" si="57"/>
        <v>5</v>
      </c>
      <c r="H213" s="23">
        <f t="shared" si="58"/>
        <v>2.5</v>
      </c>
      <c r="I213" s="24">
        <f t="shared" si="59"/>
        <v>0</v>
      </c>
      <c r="J213" s="25"/>
      <c r="K213" s="26"/>
      <c r="L213" s="27">
        <f t="shared" si="60"/>
        <v>50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"/>
      <c r="AA213" s="9"/>
      <c r="AB213" s="9"/>
    </row>
    <row r="214" ht="15.75" hidden="1" customHeight="1" outlineLevel="1">
      <c r="A214" s="14">
        <v>46572.0</v>
      </c>
      <c r="B214" s="17">
        <f t="shared" si="55"/>
        <v>0</v>
      </c>
      <c r="C214" s="18">
        <v>0.1</v>
      </c>
      <c r="D214" s="19">
        <v>0.05</v>
      </c>
      <c r="E214" s="20">
        <v>3.0</v>
      </c>
      <c r="F214" s="21" t="str">
        <f t="shared" si="56"/>
        <v>#DIV/0!</v>
      </c>
      <c r="G214" s="22">
        <f t="shared" si="57"/>
        <v>5</v>
      </c>
      <c r="H214" s="23">
        <f t="shared" si="58"/>
        <v>2.5</v>
      </c>
      <c r="I214" s="24">
        <f t="shared" si="59"/>
        <v>0</v>
      </c>
      <c r="J214" s="25"/>
      <c r="K214" s="26"/>
      <c r="L214" s="27">
        <f t="shared" si="60"/>
        <v>50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  <c r="AA214" s="9"/>
      <c r="AB214" s="9"/>
    </row>
    <row r="215" ht="15.75" hidden="1" customHeight="1" outlineLevel="1">
      <c r="A215" s="14">
        <v>46573.0</v>
      </c>
      <c r="B215" s="17">
        <f t="shared" si="55"/>
        <v>0</v>
      </c>
      <c r="C215" s="18">
        <v>0.1</v>
      </c>
      <c r="D215" s="19">
        <v>0.05</v>
      </c>
      <c r="E215" s="20">
        <v>3.0</v>
      </c>
      <c r="F215" s="21" t="str">
        <f t="shared" si="56"/>
        <v>#DIV/0!</v>
      </c>
      <c r="G215" s="22">
        <f t="shared" si="57"/>
        <v>5</v>
      </c>
      <c r="H215" s="23">
        <f t="shared" si="58"/>
        <v>2.5</v>
      </c>
      <c r="I215" s="24">
        <f t="shared" si="59"/>
        <v>0</v>
      </c>
      <c r="J215" s="25"/>
      <c r="K215" s="26"/>
      <c r="L215" s="27">
        <f t="shared" si="60"/>
        <v>50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  <c r="AA215" s="9"/>
      <c r="AB215" s="9"/>
    </row>
    <row r="216" ht="15.75" hidden="1" customHeight="1" outlineLevel="1">
      <c r="A216" s="14">
        <v>46574.0</v>
      </c>
      <c r="B216" s="17">
        <f t="shared" si="55"/>
        <v>0</v>
      </c>
      <c r="C216" s="18">
        <v>0.1</v>
      </c>
      <c r="D216" s="19">
        <v>0.05</v>
      </c>
      <c r="E216" s="20">
        <v>3.0</v>
      </c>
      <c r="F216" s="21" t="str">
        <f t="shared" si="56"/>
        <v>#DIV/0!</v>
      </c>
      <c r="G216" s="22">
        <f t="shared" si="57"/>
        <v>5</v>
      </c>
      <c r="H216" s="23">
        <f t="shared" si="58"/>
        <v>2.5</v>
      </c>
      <c r="I216" s="24">
        <f t="shared" si="59"/>
        <v>0</v>
      </c>
      <c r="J216" s="25"/>
      <c r="K216" s="26"/>
      <c r="L216" s="27">
        <f t="shared" si="60"/>
        <v>50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  <c r="AA216" s="9"/>
      <c r="AB216" s="9"/>
    </row>
    <row r="217" ht="15.75" hidden="1" customHeight="1" outlineLevel="1">
      <c r="A217" s="14">
        <v>46575.0</v>
      </c>
      <c r="B217" s="17">
        <f t="shared" si="55"/>
        <v>0</v>
      </c>
      <c r="C217" s="18">
        <v>0.1</v>
      </c>
      <c r="D217" s="19">
        <v>0.05</v>
      </c>
      <c r="E217" s="20">
        <v>3.0</v>
      </c>
      <c r="F217" s="21" t="str">
        <f t="shared" si="56"/>
        <v>#DIV/0!</v>
      </c>
      <c r="G217" s="22">
        <f t="shared" si="57"/>
        <v>5</v>
      </c>
      <c r="H217" s="23">
        <f t="shared" si="58"/>
        <v>2.5</v>
      </c>
      <c r="I217" s="24">
        <f t="shared" si="59"/>
        <v>0</v>
      </c>
      <c r="J217" s="25"/>
      <c r="K217" s="26"/>
      <c r="L217" s="27">
        <f t="shared" si="60"/>
        <v>50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  <c r="AA217" s="9"/>
      <c r="AB217" s="9"/>
    </row>
    <row r="218" ht="15.75" hidden="1" customHeight="1" outlineLevel="1">
      <c r="A218" s="14">
        <v>46576.0</v>
      </c>
      <c r="B218" s="17">
        <f t="shared" si="55"/>
        <v>0</v>
      </c>
      <c r="C218" s="18">
        <v>0.1</v>
      </c>
      <c r="D218" s="19">
        <v>0.05</v>
      </c>
      <c r="E218" s="20">
        <v>3.0</v>
      </c>
      <c r="F218" s="21" t="str">
        <f t="shared" si="56"/>
        <v>#DIV/0!</v>
      </c>
      <c r="G218" s="22">
        <f t="shared" si="57"/>
        <v>5</v>
      </c>
      <c r="H218" s="23">
        <f t="shared" si="58"/>
        <v>2.5</v>
      </c>
      <c r="I218" s="24">
        <f t="shared" si="59"/>
        <v>0</v>
      </c>
      <c r="J218" s="25"/>
      <c r="K218" s="26"/>
      <c r="L218" s="27">
        <f t="shared" si="60"/>
        <v>50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  <c r="AA218" s="9"/>
      <c r="AB218" s="9"/>
    </row>
    <row r="219" ht="15.75" hidden="1" customHeight="1" outlineLevel="1">
      <c r="A219" s="14">
        <v>46577.0</v>
      </c>
      <c r="B219" s="17">
        <f t="shared" si="55"/>
        <v>0</v>
      </c>
      <c r="C219" s="18">
        <v>0.1</v>
      </c>
      <c r="D219" s="19">
        <v>0.05</v>
      </c>
      <c r="E219" s="20">
        <v>3.0</v>
      </c>
      <c r="F219" s="21" t="str">
        <f t="shared" si="56"/>
        <v>#DIV/0!</v>
      </c>
      <c r="G219" s="22">
        <f t="shared" si="57"/>
        <v>5</v>
      </c>
      <c r="H219" s="23">
        <f t="shared" si="58"/>
        <v>2.5</v>
      </c>
      <c r="I219" s="24">
        <f t="shared" si="59"/>
        <v>0</v>
      </c>
      <c r="J219" s="25"/>
      <c r="K219" s="26"/>
      <c r="L219" s="27">
        <f t="shared" si="60"/>
        <v>50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  <c r="AA219" s="9"/>
      <c r="AB219" s="9"/>
    </row>
    <row r="220" ht="15.75" hidden="1" customHeight="1" outlineLevel="1">
      <c r="A220" s="14">
        <v>46578.0</v>
      </c>
      <c r="B220" s="17">
        <f t="shared" si="55"/>
        <v>0</v>
      </c>
      <c r="C220" s="18">
        <v>0.1</v>
      </c>
      <c r="D220" s="19">
        <v>0.05</v>
      </c>
      <c r="E220" s="20">
        <v>3.0</v>
      </c>
      <c r="F220" s="21" t="str">
        <f t="shared" si="56"/>
        <v>#DIV/0!</v>
      </c>
      <c r="G220" s="22">
        <f t="shared" si="57"/>
        <v>5</v>
      </c>
      <c r="H220" s="23">
        <f t="shared" si="58"/>
        <v>2.5</v>
      </c>
      <c r="I220" s="24">
        <f t="shared" si="59"/>
        <v>0</v>
      </c>
      <c r="J220" s="25"/>
      <c r="K220" s="26"/>
      <c r="L220" s="27">
        <f t="shared" si="60"/>
        <v>50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"/>
      <c r="AA220" s="9"/>
      <c r="AB220" s="9"/>
    </row>
    <row r="221" ht="15.75" hidden="1" customHeight="1" outlineLevel="1">
      <c r="A221" s="14">
        <v>46579.0</v>
      </c>
      <c r="B221" s="17">
        <f t="shared" si="55"/>
        <v>0</v>
      </c>
      <c r="C221" s="18">
        <v>0.1</v>
      </c>
      <c r="D221" s="19">
        <v>0.05</v>
      </c>
      <c r="E221" s="20">
        <v>3.0</v>
      </c>
      <c r="F221" s="21" t="str">
        <f t="shared" si="56"/>
        <v>#DIV/0!</v>
      </c>
      <c r="G221" s="22">
        <f t="shared" si="57"/>
        <v>5</v>
      </c>
      <c r="H221" s="23">
        <f t="shared" si="58"/>
        <v>2.5</v>
      </c>
      <c r="I221" s="24">
        <f t="shared" si="59"/>
        <v>0</v>
      </c>
      <c r="J221" s="25"/>
      <c r="K221" s="26"/>
      <c r="L221" s="27">
        <f t="shared" si="60"/>
        <v>50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  <c r="AA221" s="9"/>
      <c r="AB221" s="9"/>
    </row>
    <row r="222" ht="15.75" hidden="1" customHeight="1" outlineLevel="1">
      <c r="A222" s="14">
        <v>46580.0</v>
      </c>
      <c r="B222" s="17">
        <f t="shared" si="55"/>
        <v>0</v>
      </c>
      <c r="C222" s="18">
        <v>0.1</v>
      </c>
      <c r="D222" s="19">
        <v>0.05</v>
      </c>
      <c r="E222" s="20">
        <v>3.0</v>
      </c>
      <c r="F222" s="21" t="str">
        <f t="shared" si="56"/>
        <v>#DIV/0!</v>
      </c>
      <c r="G222" s="22">
        <f t="shared" si="57"/>
        <v>5</v>
      </c>
      <c r="H222" s="23">
        <f t="shared" si="58"/>
        <v>2.5</v>
      </c>
      <c r="I222" s="24">
        <f t="shared" si="59"/>
        <v>0</v>
      </c>
      <c r="J222" s="25"/>
      <c r="K222" s="26"/>
      <c r="L222" s="27">
        <f t="shared" si="60"/>
        <v>50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  <c r="AA222" s="9"/>
      <c r="AB222" s="9"/>
    </row>
    <row r="223" ht="15.75" hidden="1" customHeight="1" outlineLevel="1">
      <c r="A223" s="14">
        <v>46581.0</v>
      </c>
      <c r="B223" s="17">
        <f t="shared" si="55"/>
        <v>0</v>
      </c>
      <c r="C223" s="18">
        <v>0.1</v>
      </c>
      <c r="D223" s="19">
        <v>0.05</v>
      </c>
      <c r="E223" s="20">
        <v>3.0</v>
      </c>
      <c r="F223" s="21" t="str">
        <f t="shared" si="56"/>
        <v>#DIV/0!</v>
      </c>
      <c r="G223" s="22">
        <f t="shared" si="57"/>
        <v>5</v>
      </c>
      <c r="H223" s="23">
        <f t="shared" si="58"/>
        <v>2.5</v>
      </c>
      <c r="I223" s="24">
        <f t="shared" si="59"/>
        <v>0</v>
      </c>
      <c r="J223" s="25"/>
      <c r="K223" s="26"/>
      <c r="L223" s="27">
        <f t="shared" si="60"/>
        <v>50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  <c r="AA223" s="9"/>
      <c r="AB223" s="9"/>
    </row>
    <row r="224" ht="15.75" hidden="1" customHeight="1" outlineLevel="1">
      <c r="A224" s="14">
        <v>46582.0</v>
      </c>
      <c r="B224" s="17">
        <f t="shared" si="55"/>
        <v>0</v>
      </c>
      <c r="C224" s="18">
        <v>0.1</v>
      </c>
      <c r="D224" s="19">
        <v>0.05</v>
      </c>
      <c r="E224" s="20">
        <v>3.0</v>
      </c>
      <c r="F224" s="21" t="str">
        <f t="shared" si="56"/>
        <v>#DIV/0!</v>
      </c>
      <c r="G224" s="22">
        <f t="shared" si="57"/>
        <v>5</v>
      </c>
      <c r="H224" s="23">
        <f t="shared" si="58"/>
        <v>2.5</v>
      </c>
      <c r="I224" s="24">
        <f t="shared" si="59"/>
        <v>0</v>
      </c>
      <c r="J224" s="25"/>
      <c r="K224" s="26"/>
      <c r="L224" s="27">
        <f t="shared" si="60"/>
        <v>50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  <c r="AA224" s="9"/>
      <c r="AB224" s="9"/>
    </row>
    <row r="225" ht="15.75" hidden="1" customHeight="1" outlineLevel="1">
      <c r="A225" s="14">
        <v>46583.0</v>
      </c>
      <c r="B225" s="17">
        <f t="shared" si="55"/>
        <v>0</v>
      </c>
      <c r="C225" s="18">
        <v>0.1</v>
      </c>
      <c r="D225" s="19">
        <v>0.05</v>
      </c>
      <c r="E225" s="20">
        <v>3.0</v>
      </c>
      <c r="F225" s="21" t="str">
        <f t="shared" si="56"/>
        <v>#DIV/0!</v>
      </c>
      <c r="G225" s="22">
        <f t="shared" si="57"/>
        <v>5</v>
      </c>
      <c r="H225" s="23">
        <f t="shared" si="58"/>
        <v>2.5</v>
      </c>
      <c r="I225" s="24">
        <f t="shared" si="59"/>
        <v>0</v>
      </c>
      <c r="J225" s="25"/>
      <c r="K225" s="26"/>
      <c r="L225" s="27">
        <f t="shared" si="60"/>
        <v>50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  <c r="AA225" s="9"/>
      <c r="AB225" s="9"/>
    </row>
    <row r="226" ht="15.75" hidden="1" customHeight="1" outlineLevel="1">
      <c r="A226" s="14">
        <v>46584.0</v>
      </c>
      <c r="B226" s="17">
        <f t="shared" si="55"/>
        <v>0</v>
      </c>
      <c r="C226" s="18">
        <v>0.1</v>
      </c>
      <c r="D226" s="19">
        <v>0.05</v>
      </c>
      <c r="E226" s="20">
        <v>3.0</v>
      </c>
      <c r="F226" s="21" t="str">
        <f t="shared" si="56"/>
        <v>#DIV/0!</v>
      </c>
      <c r="G226" s="22">
        <f t="shared" si="57"/>
        <v>5</v>
      </c>
      <c r="H226" s="23">
        <f t="shared" si="58"/>
        <v>2.5</v>
      </c>
      <c r="I226" s="24">
        <f t="shared" si="59"/>
        <v>0</v>
      </c>
      <c r="J226" s="25"/>
      <c r="K226" s="26"/>
      <c r="L226" s="27">
        <f t="shared" si="60"/>
        <v>50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  <c r="AA226" s="9"/>
      <c r="AB226" s="9"/>
    </row>
    <row r="227" ht="15.75" hidden="1" customHeight="1" outlineLevel="1">
      <c r="A227" s="14">
        <v>46585.0</v>
      </c>
      <c r="B227" s="17">
        <f t="shared" si="55"/>
        <v>0</v>
      </c>
      <c r="C227" s="18">
        <v>0.1</v>
      </c>
      <c r="D227" s="19">
        <v>0.05</v>
      </c>
      <c r="E227" s="20">
        <v>3.0</v>
      </c>
      <c r="F227" s="21" t="str">
        <f t="shared" si="56"/>
        <v>#DIV/0!</v>
      </c>
      <c r="G227" s="22">
        <f t="shared" si="57"/>
        <v>5</v>
      </c>
      <c r="H227" s="23">
        <f t="shared" si="58"/>
        <v>2.5</v>
      </c>
      <c r="I227" s="24">
        <f t="shared" si="59"/>
        <v>0</v>
      </c>
      <c r="J227" s="25"/>
      <c r="K227" s="26"/>
      <c r="L227" s="27">
        <f t="shared" si="60"/>
        <v>50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  <c r="AA227" s="9"/>
      <c r="AB227" s="9"/>
    </row>
    <row r="228" ht="15.75" hidden="1" customHeight="1" outlineLevel="1">
      <c r="A228" s="14">
        <v>46586.0</v>
      </c>
      <c r="B228" s="17">
        <f t="shared" si="55"/>
        <v>0</v>
      </c>
      <c r="C228" s="18">
        <v>0.1</v>
      </c>
      <c r="D228" s="19">
        <v>0.05</v>
      </c>
      <c r="E228" s="20">
        <v>3.0</v>
      </c>
      <c r="F228" s="21" t="str">
        <f t="shared" si="56"/>
        <v>#DIV/0!</v>
      </c>
      <c r="G228" s="22">
        <f t="shared" si="57"/>
        <v>5</v>
      </c>
      <c r="H228" s="23">
        <f t="shared" si="58"/>
        <v>2.5</v>
      </c>
      <c r="I228" s="24">
        <f t="shared" si="59"/>
        <v>0</v>
      </c>
      <c r="J228" s="25"/>
      <c r="K228" s="26"/>
      <c r="L228" s="27">
        <f t="shared" si="60"/>
        <v>50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  <c r="AA228" s="9"/>
      <c r="AB228" s="9"/>
    </row>
    <row r="229" ht="15.75" hidden="1" customHeight="1" outlineLevel="1">
      <c r="A229" s="14">
        <v>46587.0</v>
      </c>
      <c r="B229" s="17">
        <f t="shared" si="55"/>
        <v>0</v>
      </c>
      <c r="C229" s="18">
        <v>0.1</v>
      </c>
      <c r="D229" s="19">
        <v>0.05</v>
      </c>
      <c r="E229" s="20">
        <v>3.0</v>
      </c>
      <c r="F229" s="21" t="str">
        <f t="shared" si="56"/>
        <v>#DIV/0!</v>
      </c>
      <c r="G229" s="22">
        <f t="shared" si="57"/>
        <v>5</v>
      </c>
      <c r="H229" s="23">
        <f t="shared" si="58"/>
        <v>2.5</v>
      </c>
      <c r="I229" s="24">
        <f t="shared" si="59"/>
        <v>0</v>
      </c>
      <c r="J229" s="25"/>
      <c r="K229" s="26"/>
      <c r="L229" s="27">
        <f t="shared" si="60"/>
        <v>50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  <c r="AA229" s="9"/>
      <c r="AB229" s="9"/>
    </row>
    <row r="230" ht="15.75" hidden="1" customHeight="1" outlineLevel="1">
      <c r="A230" s="14">
        <v>46588.0</v>
      </c>
      <c r="B230" s="17">
        <f t="shared" si="55"/>
        <v>0</v>
      </c>
      <c r="C230" s="18">
        <v>0.1</v>
      </c>
      <c r="D230" s="19">
        <v>0.05</v>
      </c>
      <c r="E230" s="20">
        <v>3.0</v>
      </c>
      <c r="F230" s="21" t="str">
        <f t="shared" si="56"/>
        <v>#DIV/0!</v>
      </c>
      <c r="G230" s="22">
        <f t="shared" si="57"/>
        <v>5</v>
      </c>
      <c r="H230" s="23">
        <f t="shared" si="58"/>
        <v>2.5</v>
      </c>
      <c r="I230" s="24">
        <f t="shared" si="59"/>
        <v>0</v>
      </c>
      <c r="J230" s="25"/>
      <c r="K230" s="26"/>
      <c r="L230" s="27">
        <f t="shared" si="60"/>
        <v>50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  <c r="AA230" s="9"/>
      <c r="AB230" s="9"/>
    </row>
    <row r="231" ht="15.75" hidden="1" customHeight="1" outlineLevel="1">
      <c r="A231" s="14">
        <v>46589.0</v>
      </c>
      <c r="B231" s="17">
        <f t="shared" si="55"/>
        <v>0</v>
      </c>
      <c r="C231" s="18">
        <v>0.1</v>
      </c>
      <c r="D231" s="19">
        <v>0.05</v>
      </c>
      <c r="E231" s="20">
        <v>3.0</v>
      </c>
      <c r="F231" s="21" t="str">
        <f t="shared" si="56"/>
        <v>#DIV/0!</v>
      </c>
      <c r="G231" s="22">
        <f t="shared" si="57"/>
        <v>5</v>
      </c>
      <c r="H231" s="23">
        <f t="shared" si="58"/>
        <v>2.5</v>
      </c>
      <c r="I231" s="24">
        <f t="shared" si="59"/>
        <v>0</v>
      </c>
      <c r="J231" s="25"/>
      <c r="K231" s="26"/>
      <c r="L231" s="27">
        <f t="shared" si="60"/>
        <v>50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  <c r="AA231" s="9"/>
      <c r="AB231" s="9"/>
    </row>
    <row r="232" ht="15.75" hidden="1" customHeight="1" outlineLevel="1">
      <c r="A232" s="14">
        <v>46590.0</v>
      </c>
      <c r="B232" s="17">
        <f t="shared" si="55"/>
        <v>0</v>
      </c>
      <c r="C232" s="18">
        <v>0.1</v>
      </c>
      <c r="D232" s="19">
        <v>0.05</v>
      </c>
      <c r="E232" s="20">
        <v>3.0</v>
      </c>
      <c r="F232" s="21" t="str">
        <f t="shared" si="56"/>
        <v>#DIV/0!</v>
      </c>
      <c r="G232" s="22">
        <f t="shared" si="57"/>
        <v>5</v>
      </c>
      <c r="H232" s="23">
        <f t="shared" si="58"/>
        <v>2.5</v>
      </c>
      <c r="I232" s="24">
        <f t="shared" si="59"/>
        <v>0</v>
      </c>
      <c r="J232" s="25"/>
      <c r="K232" s="26"/>
      <c r="L232" s="27">
        <f t="shared" si="60"/>
        <v>50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  <c r="AA232" s="9"/>
      <c r="AB232" s="9"/>
    </row>
    <row r="233" ht="15.75" hidden="1" customHeight="1" outlineLevel="1">
      <c r="A233" s="14">
        <v>46591.0</v>
      </c>
      <c r="B233" s="17">
        <f t="shared" si="55"/>
        <v>0</v>
      </c>
      <c r="C233" s="18">
        <v>0.1</v>
      </c>
      <c r="D233" s="19">
        <v>0.05</v>
      </c>
      <c r="E233" s="20">
        <v>3.0</v>
      </c>
      <c r="F233" s="21" t="str">
        <f t="shared" si="56"/>
        <v>#DIV/0!</v>
      </c>
      <c r="G233" s="22">
        <f t="shared" si="57"/>
        <v>5</v>
      </c>
      <c r="H233" s="23">
        <f t="shared" si="58"/>
        <v>2.5</v>
      </c>
      <c r="I233" s="24">
        <f t="shared" si="59"/>
        <v>0</v>
      </c>
      <c r="J233" s="25"/>
      <c r="K233" s="26"/>
      <c r="L233" s="27">
        <f t="shared" si="60"/>
        <v>50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/>
      <c r="AA233" s="9"/>
      <c r="AB233" s="9"/>
    </row>
    <row r="234" ht="15.75" hidden="1" customHeight="1" outlineLevel="1">
      <c r="A234" s="14">
        <v>46592.0</v>
      </c>
      <c r="B234" s="17">
        <f t="shared" si="55"/>
        <v>0</v>
      </c>
      <c r="C234" s="18">
        <v>0.1</v>
      </c>
      <c r="D234" s="19">
        <v>0.05</v>
      </c>
      <c r="E234" s="20">
        <v>3.0</v>
      </c>
      <c r="F234" s="21" t="str">
        <f t="shared" si="56"/>
        <v>#DIV/0!</v>
      </c>
      <c r="G234" s="22">
        <f t="shared" si="57"/>
        <v>5</v>
      </c>
      <c r="H234" s="23">
        <f t="shared" si="58"/>
        <v>2.5</v>
      </c>
      <c r="I234" s="24">
        <f t="shared" si="59"/>
        <v>0</v>
      </c>
      <c r="J234" s="25"/>
      <c r="K234" s="26"/>
      <c r="L234" s="27">
        <f t="shared" si="60"/>
        <v>50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  <c r="AA234" s="9"/>
      <c r="AB234" s="9"/>
    </row>
    <row r="235" ht="15.75" hidden="1" customHeight="1" outlineLevel="1">
      <c r="A235" s="14">
        <v>46593.0</v>
      </c>
      <c r="B235" s="17">
        <f t="shared" si="55"/>
        <v>0</v>
      </c>
      <c r="C235" s="18">
        <v>0.1</v>
      </c>
      <c r="D235" s="19">
        <v>0.05</v>
      </c>
      <c r="E235" s="20">
        <v>3.0</v>
      </c>
      <c r="F235" s="21" t="str">
        <f t="shared" si="56"/>
        <v>#DIV/0!</v>
      </c>
      <c r="G235" s="22">
        <f t="shared" si="57"/>
        <v>5</v>
      </c>
      <c r="H235" s="23">
        <f t="shared" si="58"/>
        <v>2.5</v>
      </c>
      <c r="I235" s="24">
        <f t="shared" si="59"/>
        <v>0</v>
      </c>
      <c r="J235" s="25"/>
      <c r="K235" s="26"/>
      <c r="L235" s="27">
        <f t="shared" si="60"/>
        <v>50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  <c r="AA235" s="9"/>
      <c r="AB235" s="9"/>
    </row>
    <row r="236" ht="15.75" hidden="1" customHeight="1" outlineLevel="1">
      <c r="A236" s="14">
        <v>46594.0</v>
      </c>
      <c r="B236" s="17">
        <f t="shared" si="55"/>
        <v>0</v>
      </c>
      <c r="C236" s="18">
        <v>0.1</v>
      </c>
      <c r="D236" s="19">
        <v>0.05</v>
      </c>
      <c r="E236" s="20">
        <v>3.0</v>
      </c>
      <c r="F236" s="21" t="str">
        <f t="shared" si="56"/>
        <v>#DIV/0!</v>
      </c>
      <c r="G236" s="22">
        <f t="shared" si="57"/>
        <v>5</v>
      </c>
      <c r="H236" s="23">
        <f t="shared" si="58"/>
        <v>2.5</v>
      </c>
      <c r="I236" s="24">
        <f t="shared" si="59"/>
        <v>0</v>
      </c>
      <c r="J236" s="25"/>
      <c r="K236" s="26"/>
      <c r="L236" s="27">
        <f t="shared" si="60"/>
        <v>50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  <c r="AA236" s="9"/>
      <c r="AB236" s="9"/>
    </row>
    <row r="237" ht="15.75" hidden="1" customHeight="1" outlineLevel="1">
      <c r="A237" s="14">
        <v>46595.0</v>
      </c>
      <c r="B237" s="17">
        <f t="shared" si="55"/>
        <v>0</v>
      </c>
      <c r="C237" s="18">
        <v>0.1</v>
      </c>
      <c r="D237" s="19">
        <v>0.05</v>
      </c>
      <c r="E237" s="20">
        <v>3.0</v>
      </c>
      <c r="F237" s="21" t="str">
        <f t="shared" si="56"/>
        <v>#DIV/0!</v>
      </c>
      <c r="G237" s="22">
        <f t="shared" si="57"/>
        <v>5</v>
      </c>
      <c r="H237" s="23">
        <f t="shared" si="58"/>
        <v>2.5</v>
      </c>
      <c r="I237" s="24">
        <f t="shared" si="59"/>
        <v>0</v>
      </c>
      <c r="J237" s="25"/>
      <c r="K237" s="26"/>
      <c r="L237" s="27">
        <f t="shared" si="60"/>
        <v>50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  <c r="AA237" s="9"/>
      <c r="AB237" s="9"/>
    </row>
    <row r="238" ht="15.75" hidden="1" customHeight="1" outlineLevel="1">
      <c r="A238" s="14">
        <v>46596.0</v>
      </c>
      <c r="B238" s="17">
        <f t="shared" si="55"/>
        <v>0</v>
      </c>
      <c r="C238" s="18">
        <v>0.1</v>
      </c>
      <c r="D238" s="19">
        <v>0.05</v>
      </c>
      <c r="E238" s="20">
        <v>3.0</v>
      </c>
      <c r="F238" s="21" t="str">
        <f t="shared" si="56"/>
        <v>#DIV/0!</v>
      </c>
      <c r="G238" s="22">
        <f t="shared" si="57"/>
        <v>5</v>
      </c>
      <c r="H238" s="23">
        <f t="shared" si="58"/>
        <v>2.5</v>
      </c>
      <c r="I238" s="24">
        <f t="shared" si="59"/>
        <v>0</v>
      </c>
      <c r="J238" s="25"/>
      <c r="K238" s="26"/>
      <c r="L238" s="27">
        <f t="shared" si="60"/>
        <v>50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  <c r="AA238" s="9"/>
      <c r="AB238" s="9"/>
    </row>
    <row r="239" ht="15.75" hidden="1" customHeight="1" outlineLevel="1">
      <c r="A239" s="14">
        <v>46597.0</v>
      </c>
      <c r="B239" s="17">
        <f t="shared" si="55"/>
        <v>0</v>
      </c>
      <c r="C239" s="18">
        <v>0.1</v>
      </c>
      <c r="D239" s="19">
        <v>0.05</v>
      </c>
      <c r="E239" s="20">
        <v>3.0</v>
      </c>
      <c r="F239" s="21" t="str">
        <f t="shared" si="56"/>
        <v>#DIV/0!</v>
      </c>
      <c r="G239" s="22">
        <f t="shared" si="57"/>
        <v>5</v>
      </c>
      <c r="H239" s="23">
        <f t="shared" si="58"/>
        <v>2.5</v>
      </c>
      <c r="I239" s="24">
        <f t="shared" si="59"/>
        <v>0</v>
      </c>
      <c r="J239" s="25"/>
      <c r="K239" s="26"/>
      <c r="L239" s="27">
        <f t="shared" si="60"/>
        <v>50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  <c r="AA239" s="9"/>
      <c r="AB239" s="9"/>
    </row>
    <row r="240" ht="15.75" hidden="1" customHeight="1" outlineLevel="1">
      <c r="A240" s="14">
        <v>46598.0</v>
      </c>
      <c r="B240" s="17">
        <f t="shared" si="55"/>
        <v>0</v>
      </c>
      <c r="C240" s="18">
        <v>0.1</v>
      </c>
      <c r="D240" s="19">
        <v>0.05</v>
      </c>
      <c r="E240" s="20">
        <v>3.0</v>
      </c>
      <c r="F240" s="21" t="str">
        <f t="shared" si="56"/>
        <v>#DIV/0!</v>
      </c>
      <c r="G240" s="22">
        <f t="shared" si="57"/>
        <v>5</v>
      </c>
      <c r="H240" s="23">
        <f t="shared" si="58"/>
        <v>2.5</v>
      </c>
      <c r="I240" s="24">
        <f t="shared" si="59"/>
        <v>0</v>
      </c>
      <c r="J240" s="25"/>
      <c r="K240" s="26"/>
      <c r="L240" s="27">
        <f t="shared" si="60"/>
        <v>50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/>
      <c r="AA240" s="9"/>
      <c r="AB240" s="9"/>
    </row>
    <row r="241" ht="15.75" hidden="1" customHeight="1" outlineLevel="1">
      <c r="A241" s="14">
        <v>46599.0</v>
      </c>
      <c r="B241" s="17">
        <f t="shared" si="55"/>
        <v>0</v>
      </c>
      <c r="C241" s="18">
        <v>0.1</v>
      </c>
      <c r="D241" s="19">
        <v>0.05</v>
      </c>
      <c r="E241" s="20">
        <v>3.0</v>
      </c>
      <c r="F241" s="21" t="str">
        <f t="shared" si="56"/>
        <v>#DIV/0!</v>
      </c>
      <c r="G241" s="22">
        <f t="shared" si="57"/>
        <v>5</v>
      </c>
      <c r="H241" s="23">
        <f t="shared" si="58"/>
        <v>2.5</v>
      </c>
      <c r="I241" s="24">
        <f t="shared" si="59"/>
        <v>0</v>
      </c>
      <c r="J241" s="25"/>
      <c r="K241" s="26"/>
      <c r="L241" s="27">
        <f t="shared" si="60"/>
        <v>50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  <c r="AA241" s="9"/>
      <c r="AB241" s="9"/>
    </row>
    <row r="242" ht="15.75" hidden="1" customHeight="1" outlineLevel="1">
      <c r="A242" s="28" t="s">
        <v>18</v>
      </c>
      <c r="C242" s="29">
        <f>SUM(C211:C241)</f>
        <v>3.1</v>
      </c>
      <c r="D242" s="30"/>
      <c r="E242" s="30"/>
      <c r="F242" s="30"/>
      <c r="G242" s="30"/>
      <c r="H242" s="30"/>
      <c r="I242" s="30" t="str">
        <f t="shared" ref="I242:K242" si="61">SUM(I211:I241)</f>
        <v>#DIV/0!</v>
      </c>
      <c r="J242" s="32">
        <f t="shared" si="61"/>
        <v>0</v>
      </c>
      <c r="K242" s="30">
        <f t="shared" si="61"/>
        <v>0</v>
      </c>
      <c r="L242" s="32">
        <f>L241</f>
        <v>50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  <c r="AA242" s="9"/>
      <c r="AB242" s="9"/>
    </row>
    <row r="243" ht="15.75" customHeight="1">
      <c r="A243" s="38"/>
      <c r="B243" s="35"/>
      <c r="C243" s="35"/>
      <c r="D243" s="35"/>
      <c r="E243" s="35"/>
      <c r="F243" s="35"/>
      <c r="G243" s="35"/>
      <c r="H243" s="35"/>
      <c r="I243" s="35"/>
      <c r="J243" s="35"/>
      <c r="K243" s="37">
        <f>SUM(K211:K241)</f>
        <v>0</v>
      </c>
      <c r="L243" s="35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  <c r="AA243" s="9"/>
      <c r="AB243" s="9"/>
    </row>
    <row r="244" ht="15.75" customHeight="1" collapsed="1">
      <c r="A244" s="1" t="s">
        <v>26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  <c r="AA244" s="9"/>
      <c r="AB244" s="9"/>
    </row>
    <row r="245" ht="15.75" hidden="1" customHeight="1" outlineLevel="1">
      <c r="A245" s="14" t="s">
        <v>6</v>
      </c>
      <c r="B245" s="1" t="s">
        <v>7</v>
      </c>
      <c r="C245" s="1" t="s">
        <v>8</v>
      </c>
      <c r="D245" s="15" t="s">
        <v>9</v>
      </c>
      <c r="E245" s="15" t="s">
        <v>10</v>
      </c>
      <c r="F245" s="15" t="s">
        <v>11</v>
      </c>
      <c r="G245" s="16" t="s">
        <v>12</v>
      </c>
      <c r="H245" s="15" t="s">
        <v>13</v>
      </c>
      <c r="I245" s="1" t="s">
        <v>14</v>
      </c>
      <c r="J245" s="17" t="s">
        <v>15</v>
      </c>
      <c r="K245" s="1" t="s">
        <v>16</v>
      </c>
      <c r="L245" s="1" t="s">
        <v>17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  <c r="AA245" s="9"/>
      <c r="AB245" s="9"/>
    </row>
    <row r="246" ht="15.75" hidden="1" customHeight="1" outlineLevel="1">
      <c r="A246" s="14">
        <v>46600.0</v>
      </c>
      <c r="B246" s="17">
        <f t="shared" ref="B246:B276" si="62">ROUND(AVERAGE((H246/1000)/E246), 2)</f>
        <v>0</v>
      </c>
      <c r="C246" s="18">
        <v>0.1</v>
      </c>
      <c r="D246" s="19">
        <v>0.05</v>
      </c>
      <c r="E246" s="20">
        <v>3.0</v>
      </c>
      <c r="F246" s="21" t="str">
        <f t="shared" ref="F246:F276" si="63">H246/B246</f>
        <v>#DIV/0!</v>
      </c>
      <c r="G246" s="22">
        <f>L242*C246</f>
        <v>5</v>
      </c>
      <c r="H246" s="23">
        <f>L242*D246</f>
        <v>2.5</v>
      </c>
      <c r="I246" s="24" t="str">
        <f>(J246/B241)*100</f>
        <v>#DIV/0!</v>
      </c>
      <c r="J246" s="25"/>
      <c r="K246" s="26"/>
      <c r="L246" s="27">
        <f>(L242+J246)-K246</f>
        <v>50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  <c r="AA246" s="9"/>
      <c r="AB246" s="9"/>
    </row>
    <row r="247" ht="15.75" hidden="1" customHeight="1" outlineLevel="1">
      <c r="A247" s="14">
        <v>46601.0</v>
      </c>
      <c r="B247" s="17">
        <f t="shared" si="62"/>
        <v>0</v>
      </c>
      <c r="C247" s="18">
        <v>0.1</v>
      </c>
      <c r="D247" s="19">
        <v>0.05</v>
      </c>
      <c r="E247" s="20">
        <v>3.0</v>
      </c>
      <c r="F247" s="21" t="str">
        <f t="shared" si="63"/>
        <v>#DIV/0!</v>
      </c>
      <c r="G247" s="22">
        <f t="shared" ref="G247:G276" si="64">L246*C247</f>
        <v>5</v>
      </c>
      <c r="H247" s="23">
        <f t="shared" ref="H247:H276" si="65">L246*D247</f>
        <v>2.5</v>
      </c>
      <c r="I247" s="24">
        <f t="shared" ref="I247:I276" si="66">(J247/L246)*100</f>
        <v>0</v>
      </c>
      <c r="J247" s="25"/>
      <c r="K247" s="26"/>
      <c r="L247" s="27">
        <f t="shared" ref="L247:L276" si="67">(L246+J247)-K247</f>
        <v>50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  <c r="AA247" s="9"/>
      <c r="AB247" s="9"/>
    </row>
    <row r="248" ht="15.75" hidden="1" customHeight="1" outlineLevel="1">
      <c r="A248" s="14">
        <v>46602.0</v>
      </c>
      <c r="B248" s="17">
        <f t="shared" si="62"/>
        <v>0</v>
      </c>
      <c r="C248" s="18">
        <v>0.1</v>
      </c>
      <c r="D248" s="19">
        <v>0.05</v>
      </c>
      <c r="E248" s="20">
        <v>3.0</v>
      </c>
      <c r="F248" s="21" t="str">
        <f t="shared" si="63"/>
        <v>#DIV/0!</v>
      </c>
      <c r="G248" s="22">
        <f t="shared" si="64"/>
        <v>5</v>
      </c>
      <c r="H248" s="23">
        <f t="shared" si="65"/>
        <v>2.5</v>
      </c>
      <c r="I248" s="24">
        <f t="shared" si="66"/>
        <v>0</v>
      </c>
      <c r="J248" s="25"/>
      <c r="K248" s="26"/>
      <c r="L248" s="27">
        <f t="shared" si="67"/>
        <v>50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  <c r="AA248" s="9"/>
      <c r="AB248" s="9"/>
    </row>
    <row r="249" ht="15.75" hidden="1" customHeight="1" outlineLevel="1">
      <c r="A249" s="14">
        <v>46603.0</v>
      </c>
      <c r="B249" s="17">
        <f t="shared" si="62"/>
        <v>0</v>
      </c>
      <c r="C249" s="18">
        <v>0.1</v>
      </c>
      <c r="D249" s="19">
        <v>0.05</v>
      </c>
      <c r="E249" s="20">
        <v>3.0</v>
      </c>
      <c r="F249" s="21" t="str">
        <f t="shared" si="63"/>
        <v>#DIV/0!</v>
      </c>
      <c r="G249" s="22">
        <f t="shared" si="64"/>
        <v>5</v>
      </c>
      <c r="H249" s="23">
        <f t="shared" si="65"/>
        <v>2.5</v>
      </c>
      <c r="I249" s="24">
        <f t="shared" si="66"/>
        <v>0</v>
      </c>
      <c r="J249" s="25"/>
      <c r="K249" s="26"/>
      <c r="L249" s="27">
        <f t="shared" si="67"/>
        <v>50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  <c r="AA249" s="9"/>
      <c r="AB249" s="9"/>
    </row>
    <row r="250" ht="15.75" hidden="1" customHeight="1" outlineLevel="1">
      <c r="A250" s="14">
        <v>46604.0</v>
      </c>
      <c r="B250" s="17">
        <f t="shared" si="62"/>
        <v>0</v>
      </c>
      <c r="C250" s="18">
        <v>0.1</v>
      </c>
      <c r="D250" s="19">
        <v>0.05</v>
      </c>
      <c r="E250" s="20">
        <v>3.0</v>
      </c>
      <c r="F250" s="21" t="str">
        <f t="shared" si="63"/>
        <v>#DIV/0!</v>
      </c>
      <c r="G250" s="22">
        <f t="shared" si="64"/>
        <v>5</v>
      </c>
      <c r="H250" s="23">
        <f t="shared" si="65"/>
        <v>2.5</v>
      </c>
      <c r="I250" s="24">
        <f t="shared" si="66"/>
        <v>0</v>
      </c>
      <c r="J250" s="25"/>
      <c r="K250" s="26"/>
      <c r="L250" s="27">
        <f t="shared" si="67"/>
        <v>50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  <c r="AA250" s="9"/>
      <c r="AB250" s="9"/>
    </row>
    <row r="251" ht="15.75" hidden="1" customHeight="1" outlineLevel="1">
      <c r="A251" s="14">
        <v>46605.0</v>
      </c>
      <c r="B251" s="17">
        <f t="shared" si="62"/>
        <v>0</v>
      </c>
      <c r="C251" s="18">
        <v>0.1</v>
      </c>
      <c r="D251" s="19">
        <v>0.05</v>
      </c>
      <c r="E251" s="20">
        <v>3.0</v>
      </c>
      <c r="F251" s="21" t="str">
        <f t="shared" si="63"/>
        <v>#DIV/0!</v>
      </c>
      <c r="G251" s="22">
        <f t="shared" si="64"/>
        <v>5</v>
      </c>
      <c r="H251" s="23">
        <f t="shared" si="65"/>
        <v>2.5</v>
      </c>
      <c r="I251" s="24">
        <f t="shared" si="66"/>
        <v>0</v>
      </c>
      <c r="J251" s="25"/>
      <c r="K251" s="26"/>
      <c r="L251" s="27">
        <f t="shared" si="67"/>
        <v>50</v>
      </c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  <c r="AA251" s="9"/>
      <c r="AB251" s="9"/>
    </row>
    <row r="252" ht="15.75" hidden="1" customHeight="1" outlineLevel="1">
      <c r="A252" s="14">
        <v>46606.0</v>
      </c>
      <c r="B252" s="17">
        <f t="shared" si="62"/>
        <v>0</v>
      </c>
      <c r="C252" s="18">
        <v>0.1</v>
      </c>
      <c r="D252" s="19">
        <v>0.05</v>
      </c>
      <c r="E252" s="20">
        <v>3.0</v>
      </c>
      <c r="F252" s="21" t="str">
        <f t="shared" si="63"/>
        <v>#DIV/0!</v>
      </c>
      <c r="G252" s="22">
        <f t="shared" si="64"/>
        <v>5</v>
      </c>
      <c r="H252" s="23">
        <f t="shared" si="65"/>
        <v>2.5</v>
      </c>
      <c r="I252" s="24">
        <f t="shared" si="66"/>
        <v>0</v>
      </c>
      <c r="J252" s="25"/>
      <c r="K252" s="26"/>
      <c r="L252" s="27">
        <f t="shared" si="67"/>
        <v>50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  <c r="AA252" s="9"/>
      <c r="AB252" s="9"/>
    </row>
    <row r="253" ht="15.75" hidden="1" customHeight="1" outlineLevel="1">
      <c r="A253" s="14">
        <v>46607.0</v>
      </c>
      <c r="B253" s="17">
        <f t="shared" si="62"/>
        <v>0</v>
      </c>
      <c r="C253" s="18">
        <v>0.1</v>
      </c>
      <c r="D253" s="19">
        <v>0.05</v>
      </c>
      <c r="E253" s="20">
        <v>3.0</v>
      </c>
      <c r="F253" s="21" t="str">
        <f t="shared" si="63"/>
        <v>#DIV/0!</v>
      </c>
      <c r="G253" s="22">
        <f t="shared" si="64"/>
        <v>5</v>
      </c>
      <c r="H253" s="23">
        <f t="shared" si="65"/>
        <v>2.5</v>
      </c>
      <c r="I253" s="24">
        <f t="shared" si="66"/>
        <v>0</v>
      </c>
      <c r="J253" s="25"/>
      <c r="K253" s="26"/>
      <c r="L253" s="27">
        <f t="shared" si="67"/>
        <v>50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  <c r="AA253" s="9"/>
      <c r="AB253" s="9"/>
    </row>
    <row r="254" ht="15.75" hidden="1" customHeight="1" outlineLevel="1">
      <c r="A254" s="14">
        <v>46608.0</v>
      </c>
      <c r="B254" s="17">
        <f t="shared" si="62"/>
        <v>0</v>
      </c>
      <c r="C254" s="18">
        <v>0.1</v>
      </c>
      <c r="D254" s="19">
        <v>0.05</v>
      </c>
      <c r="E254" s="20">
        <v>3.0</v>
      </c>
      <c r="F254" s="21" t="str">
        <f t="shared" si="63"/>
        <v>#DIV/0!</v>
      </c>
      <c r="G254" s="22">
        <f t="shared" si="64"/>
        <v>5</v>
      </c>
      <c r="H254" s="23">
        <f t="shared" si="65"/>
        <v>2.5</v>
      </c>
      <c r="I254" s="24">
        <f t="shared" si="66"/>
        <v>0</v>
      </c>
      <c r="J254" s="25"/>
      <c r="K254" s="26"/>
      <c r="L254" s="27">
        <f t="shared" si="67"/>
        <v>50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  <c r="AA254" s="9"/>
      <c r="AB254" s="9"/>
    </row>
    <row r="255" ht="15.75" hidden="1" customHeight="1" outlineLevel="1">
      <c r="A255" s="14">
        <v>46609.0</v>
      </c>
      <c r="B255" s="17">
        <f t="shared" si="62"/>
        <v>0</v>
      </c>
      <c r="C255" s="18">
        <v>0.1</v>
      </c>
      <c r="D255" s="19">
        <v>0.05</v>
      </c>
      <c r="E255" s="20">
        <v>3.0</v>
      </c>
      <c r="F255" s="21" t="str">
        <f t="shared" si="63"/>
        <v>#DIV/0!</v>
      </c>
      <c r="G255" s="22">
        <f t="shared" si="64"/>
        <v>5</v>
      </c>
      <c r="H255" s="23">
        <f t="shared" si="65"/>
        <v>2.5</v>
      </c>
      <c r="I255" s="24">
        <f t="shared" si="66"/>
        <v>0</v>
      </c>
      <c r="J255" s="25"/>
      <c r="K255" s="26"/>
      <c r="L255" s="27">
        <f t="shared" si="67"/>
        <v>50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  <c r="AA255" s="9"/>
      <c r="AB255" s="9"/>
    </row>
    <row r="256" ht="15.75" hidden="1" customHeight="1" outlineLevel="1">
      <c r="A256" s="14">
        <v>46610.0</v>
      </c>
      <c r="B256" s="17">
        <f t="shared" si="62"/>
        <v>0</v>
      </c>
      <c r="C256" s="18">
        <v>0.1</v>
      </c>
      <c r="D256" s="19">
        <v>0.05</v>
      </c>
      <c r="E256" s="20">
        <v>3.0</v>
      </c>
      <c r="F256" s="21" t="str">
        <f t="shared" si="63"/>
        <v>#DIV/0!</v>
      </c>
      <c r="G256" s="22">
        <f t="shared" si="64"/>
        <v>5</v>
      </c>
      <c r="H256" s="23">
        <f t="shared" si="65"/>
        <v>2.5</v>
      </c>
      <c r="I256" s="24">
        <f t="shared" si="66"/>
        <v>0</v>
      </c>
      <c r="J256" s="25"/>
      <c r="K256" s="26"/>
      <c r="L256" s="27">
        <f t="shared" si="67"/>
        <v>50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  <c r="AA256" s="9"/>
      <c r="AB256" s="9"/>
    </row>
    <row r="257" ht="15.75" hidden="1" customHeight="1" outlineLevel="1">
      <c r="A257" s="14">
        <v>46611.0</v>
      </c>
      <c r="B257" s="17">
        <f t="shared" si="62"/>
        <v>0</v>
      </c>
      <c r="C257" s="18">
        <v>0.1</v>
      </c>
      <c r="D257" s="19">
        <v>0.05</v>
      </c>
      <c r="E257" s="20">
        <v>3.0</v>
      </c>
      <c r="F257" s="21" t="str">
        <f t="shared" si="63"/>
        <v>#DIV/0!</v>
      </c>
      <c r="G257" s="22">
        <f t="shared" si="64"/>
        <v>5</v>
      </c>
      <c r="H257" s="23">
        <f t="shared" si="65"/>
        <v>2.5</v>
      </c>
      <c r="I257" s="24">
        <f t="shared" si="66"/>
        <v>0</v>
      </c>
      <c r="J257" s="25"/>
      <c r="K257" s="26"/>
      <c r="L257" s="27">
        <f t="shared" si="67"/>
        <v>50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  <c r="AA257" s="9"/>
      <c r="AB257" s="9"/>
    </row>
    <row r="258" ht="15.75" hidden="1" customHeight="1" outlineLevel="1">
      <c r="A258" s="14">
        <v>46612.0</v>
      </c>
      <c r="B258" s="17">
        <f t="shared" si="62"/>
        <v>0</v>
      </c>
      <c r="C258" s="18">
        <v>0.1</v>
      </c>
      <c r="D258" s="19">
        <v>0.05</v>
      </c>
      <c r="E258" s="20">
        <v>3.0</v>
      </c>
      <c r="F258" s="21" t="str">
        <f t="shared" si="63"/>
        <v>#DIV/0!</v>
      </c>
      <c r="G258" s="22">
        <f t="shared" si="64"/>
        <v>5</v>
      </c>
      <c r="H258" s="23">
        <f t="shared" si="65"/>
        <v>2.5</v>
      </c>
      <c r="I258" s="24">
        <f t="shared" si="66"/>
        <v>0</v>
      </c>
      <c r="J258" s="25"/>
      <c r="K258" s="26"/>
      <c r="L258" s="27">
        <f t="shared" si="67"/>
        <v>50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  <c r="AA258" s="9"/>
      <c r="AB258" s="9"/>
    </row>
    <row r="259" ht="15.75" hidden="1" customHeight="1" outlineLevel="1">
      <c r="A259" s="14">
        <v>46613.0</v>
      </c>
      <c r="B259" s="17">
        <f t="shared" si="62"/>
        <v>0</v>
      </c>
      <c r="C259" s="18">
        <v>0.1</v>
      </c>
      <c r="D259" s="19">
        <v>0.05</v>
      </c>
      <c r="E259" s="20">
        <v>3.0</v>
      </c>
      <c r="F259" s="21" t="str">
        <f t="shared" si="63"/>
        <v>#DIV/0!</v>
      </c>
      <c r="G259" s="22">
        <f t="shared" si="64"/>
        <v>5</v>
      </c>
      <c r="H259" s="23">
        <f t="shared" si="65"/>
        <v>2.5</v>
      </c>
      <c r="I259" s="24">
        <f t="shared" si="66"/>
        <v>0</v>
      </c>
      <c r="J259" s="25"/>
      <c r="K259" s="26"/>
      <c r="L259" s="27">
        <f t="shared" si="67"/>
        <v>50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  <c r="AA259" s="9"/>
      <c r="AB259" s="9"/>
    </row>
    <row r="260" ht="15.75" hidden="1" customHeight="1" outlineLevel="1">
      <c r="A260" s="14">
        <v>46614.0</v>
      </c>
      <c r="B260" s="17">
        <f t="shared" si="62"/>
        <v>0</v>
      </c>
      <c r="C260" s="18">
        <v>0.1</v>
      </c>
      <c r="D260" s="19">
        <v>0.05</v>
      </c>
      <c r="E260" s="20">
        <v>3.0</v>
      </c>
      <c r="F260" s="21" t="str">
        <f t="shared" si="63"/>
        <v>#DIV/0!</v>
      </c>
      <c r="G260" s="22">
        <f t="shared" si="64"/>
        <v>5</v>
      </c>
      <c r="H260" s="23">
        <f t="shared" si="65"/>
        <v>2.5</v>
      </c>
      <c r="I260" s="24">
        <f t="shared" si="66"/>
        <v>0</v>
      </c>
      <c r="J260" s="25"/>
      <c r="K260" s="26"/>
      <c r="L260" s="27">
        <f t="shared" si="67"/>
        <v>50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  <c r="AA260" s="9"/>
      <c r="AB260" s="9"/>
    </row>
    <row r="261" ht="15.75" hidden="1" customHeight="1" outlineLevel="1">
      <c r="A261" s="14">
        <v>46615.0</v>
      </c>
      <c r="B261" s="17">
        <f t="shared" si="62"/>
        <v>0</v>
      </c>
      <c r="C261" s="18">
        <v>0.1</v>
      </c>
      <c r="D261" s="19">
        <v>0.05</v>
      </c>
      <c r="E261" s="20">
        <v>3.0</v>
      </c>
      <c r="F261" s="21" t="str">
        <f t="shared" si="63"/>
        <v>#DIV/0!</v>
      </c>
      <c r="G261" s="22">
        <f t="shared" si="64"/>
        <v>5</v>
      </c>
      <c r="H261" s="23">
        <f t="shared" si="65"/>
        <v>2.5</v>
      </c>
      <c r="I261" s="24">
        <f t="shared" si="66"/>
        <v>0</v>
      </c>
      <c r="J261" s="25"/>
      <c r="K261" s="26"/>
      <c r="L261" s="27">
        <f t="shared" si="67"/>
        <v>50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  <c r="AA261" s="9"/>
      <c r="AB261" s="9"/>
    </row>
    <row r="262" ht="15.75" hidden="1" customHeight="1" outlineLevel="1">
      <c r="A262" s="14">
        <v>46616.0</v>
      </c>
      <c r="B262" s="17">
        <f t="shared" si="62"/>
        <v>0</v>
      </c>
      <c r="C262" s="18">
        <v>0.1</v>
      </c>
      <c r="D262" s="19">
        <v>0.05</v>
      </c>
      <c r="E262" s="20">
        <v>3.0</v>
      </c>
      <c r="F262" s="21" t="str">
        <f t="shared" si="63"/>
        <v>#DIV/0!</v>
      </c>
      <c r="G262" s="22">
        <f t="shared" si="64"/>
        <v>5</v>
      </c>
      <c r="H262" s="23">
        <f t="shared" si="65"/>
        <v>2.5</v>
      </c>
      <c r="I262" s="24">
        <f t="shared" si="66"/>
        <v>0</v>
      </c>
      <c r="J262" s="25"/>
      <c r="K262" s="26"/>
      <c r="L262" s="27">
        <f t="shared" si="67"/>
        <v>50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  <c r="AA262" s="9"/>
      <c r="AB262" s="9"/>
    </row>
    <row r="263" ht="15.75" hidden="1" customHeight="1" outlineLevel="1">
      <c r="A263" s="14">
        <v>46617.0</v>
      </c>
      <c r="B263" s="17">
        <f t="shared" si="62"/>
        <v>0</v>
      </c>
      <c r="C263" s="18">
        <v>0.1</v>
      </c>
      <c r="D263" s="19">
        <v>0.05</v>
      </c>
      <c r="E263" s="20">
        <v>3.0</v>
      </c>
      <c r="F263" s="21" t="str">
        <f t="shared" si="63"/>
        <v>#DIV/0!</v>
      </c>
      <c r="G263" s="22">
        <f t="shared" si="64"/>
        <v>5</v>
      </c>
      <c r="H263" s="23">
        <f t="shared" si="65"/>
        <v>2.5</v>
      </c>
      <c r="I263" s="24">
        <f t="shared" si="66"/>
        <v>0</v>
      </c>
      <c r="J263" s="25"/>
      <c r="K263" s="26"/>
      <c r="L263" s="27">
        <f t="shared" si="67"/>
        <v>50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  <c r="AA263" s="9"/>
      <c r="AB263" s="9"/>
    </row>
    <row r="264" ht="15.75" hidden="1" customHeight="1" outlineLevel="1">
      <c r="A264" s="14">
        <v>46618.0</v>
      </c>
      <c r="B264" s="17">
        <f t="shared" si="62"/>
        <v>0</v>
      </c>
      <c r="C264" s="18">
        <v>0.1</v>
      </c>
      <c r="D264" s="19">
        <v>0.05</v>
      </c>
      <c r="E264" s="20">
        <v>3.0</v>
      </c>
      <c r="F264" s="21" t="str">
        <f t="shared" si="63"/>
        <v>#DIV/0!</v>
      </c>
      <c r="G264" s="22">
        <f t="shared" si="64"/>
        <v>5</v>
      </c>
      <c r="H264" s="23">
        <f t="shared" si="65"/>
        <v>2.5</v>
      </c>
      <c r="I264" s="24">
        <f t="shared" si="66"/>
        <v>0</v>
      </c>
      <c r="J264" s="25"/>
      <c r="K264" s="26"/>
      <c r="L264" s="27">
        <f t="shared" si="67"/>
        <v>50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  <c r="AA264" s="9"/>
      <c r="AB264" s="9"/>
    </row>
    <row r="265" ht="15.75" hidden="1" customHeight="1" outlineLevel="1">
      <c r="A265" s="14">
        <v>46619.0</v>
      </c>
      <c r="B265" s="17">
        <f t="shared" si="62"/>
        <v>0</v>
      </c>
      <c r="C265" s="18">
        <v>0.1</v>
      </c>
      <c r="D265" s="19">
        <v>0.05</v>
      </c>
      <c r="E265" s="20">
        <v>3.0</v>
      </c>
      <c r="F265" s="21" t="str">
        <f t="shared" si="63"/>
        <v>#DIV/0!</v>
      </c>
      <c r="G265" s="22">
        <f t="shared" si="64"/>
        <v>5</v>
      </c>
      <c r="H265" s="23">
        <f t="shared" si="65"/>
        <v>2.5</v>
      </c>
      <c r="I265" s="24">
        <f t="shared" si="66"/>
        <v>0</v>
      </c>
      <c r="J265" s="25"/>
      <c r="K265" s="26"/>
      <c r="L265" s="27">
        <f t="shared" si="67"/>
        <v>50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  <c r="AA265" s="9"/>
      <c r="AB265" s="9"/>
    </row>
    <row r="266" ht="15.75" hidden="1" customHeight="1" outlineLevel="1">
      <c r="A266" s="14">
        <v>46620.0</v>
      </c>
      <c r="B266" s="17">
        <f t="shared" si="62"/>
        <v>0</v>
      </c>
      <c r="C266" s="18">
        <v>0.1</v>
      </c>
      <c r="D266" s="19">
        <v>0.05</v>
      </c>
      <c r="E266" s="20">
        <v>3.0</v>
      </c>
      <c r="F266" s="21" t="str">
        <f t="shared" si="63"/>
        <v>#DIV/0!</v>
      </c>
      <c r="G266" s="22">
        <f t="shared" si="64"/>
        <v>5</v>
      </c>
      <c r="H266" s="23">
        <f t="shared" si="65"/>
        <v>2.5</v>
      </c>
      <c r="I266" s="24">
        <f t="shared" si="66"/>
        <v>0</v>
      </c>
      <c r="J266" s="25"/>
      <c r="K266" s="26"/>
      <c r="L266" s="27">
        <f t="shared" si="67"/>
        <v>50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  <c r="AA266" s="9"/>
      <c r="AB266" s="9"/>
    </row>
    <row r="267" ht="15.75" hidden="1" customHeight="1" outlineLevel="1">
      <c r="A267" s="14">
        <v>46621.0</v>
      </c>
      <c r="B267" s="17">
        <f t="shared" si="62"/>
        <v>0</v>
      </c>
      <c r="C267" s="18">
        <v>0.1</v>
      </c>
      <c r="D267" s="19">
        <v>0.05</v>
      </c>
      <c r="E267" s="20">
        <v>3.0</v>
      </c>
      <c r="F267" s="21" t="str">
        <f t="shared" si="63"/>
        <v>#DIV/0!</v>
      </c>
      <c r="G267" s="22">
        <f t="shared" si="64"/>
        <v>5</v>
      </c>
      <c r="H267" s="23">
        <f t="shared" si="65"/>
        <v>2.5</v>
      </c>
      <c r="I267" s="24">
        <f t="shared" si="66"/>
        <v>0</v>
      </c>
      <c r="J267" s="25"/>
      <c r="K267" s="26"/>
      <c r="L267" s="27">
        <f t="shared" si="67"/>
        <v>50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  <c r="AA267" s="9"/>
      <c r="AB267" s="9"/>
    </row>
    <row r="268" ht="15.75" hidden="1" customHeight="1" outlineLevel="1">
      <c r="A268" s="14">
        <v>46622.0</v>
      </c>
      <c r="B268" s="17">
        <f t="shared" si="62"/>
        <v>0</v>
      </c>
      <c r="C268" s="18">
        <v>0.1</v>
      </c>
      <c r="D268" s="19">
        <v>0.05</v>
      </c>
      <c r="E268" s="20">
        <v>3.0</v>
      </c>
      <c r="F268" s="21" t="str">
        <f t="shared" si="63"/>
        <v>#DIV/0!</v>
      </c>
      <c r="G268" s="22">
        <f t="shared" si="64"/>
        <v>5</v>
      </c>
      <c r="H268" s="23">
        <f t="shared" si="65"/>
        <v>2.5</v>
      </c>
      <c r="I268" s="24">
        <f t="shared" si="66"/>
        <v>0</v>
      </c>
      <c r="J268" s="25"/>
      <c r="K268" s="26"/>
      <c r="L268" s="27">
        <f t="shared" si="67"/>
        <v>50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  <c r="AA268" s="9"/>
      <c r="AB268" s="9"/>
    </row>
    <row r="269" ht="15.75" hidden="1" customHeight="1" outlineLevel="1">
      <c r="A269" s="14">
        <v>46623.0</v>
      </c>
      <c r="B269" s="17">
        <f t="shared" si="62"/>
        <v>0</v>
      </c>
      <c r="C269" s="18">
        <v>0.1</v>
      </c>
      <c r="D269" s="19">
        <v>0.05</v>
      </c>
      <c r="E269" s="20">
        <v>3.0</v>
      </c>
      <c r="F269" s="21" t="str">
        <f t="shared" si="63"/>
        <v>#DIV/0!</v>
      </c>
      <c r="G269" s="22">
        <f t="shared" si="64"/>
        <v>5</v>
      </c>
      <c r="H269" s="23">
        <f t="shared" si="65"/>
        <v>2.5</v>
      </c>
      <c r="I269" s="24">
        <f t="shared" si="66"/>
        <v>0</v>
      </c>
      <c r="J269" s="25"/>
      <c r="K269" s="26"/>
      <c r="L269" s="27">
        <f t="shared" si="67"/>
        <v>50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  <c r="AA269" s="9"/>
      <c r="AB269" s="9"/>
    </row>
    <row r="270" ht="15.75" hidden="1" customHeight="1" outlineLevel="1">
      <c r="A270" s="14">
        <v>46624.0</v>
      </c>
      <c r="B270" s="17">
        <f t="shared" si="62"/>
        <v>0</v>
      </c>
      <c r="C270" s="18">
        <v>0.1</v>
      </c>
      <c r="D270" s="19">
        <v>0.05</v>
      </c>
      <c r="E270" s="20">
        <v>3.0</v>
      </c>
      <c r="F270" s="21" t="str">
        <f t="shared" si="63"/>
        <v>#DIV/0!</v>
      </c>
      <c r="G270" s="22">
        <f t="shared" si="64"/>
        <v>5</v>
      </c>
      <c r="H270" s="23">
        <f t="shared" si="65"/>
        <v>2.5</v>
      </c>
      <c r="I270" s="24">
        <f t="shared" si="66"/>
        <v>0</v>
      </c>
      <c r="J270" s="25"/>
      <c r="K270" s="26"/>
      <c r="L270" s="27">
        <f t="shared" si="67"/>
        <v>50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  <c r="AA270" s="9"/>
      <c r="AB270" s="9"/>
    </row>
    <row r="271" ht="15.75" hidden="1" customHeight="1" outlineLevel="1">
      <c r="A271" s="14">
        <v>46625.0</v>
      </c>
      <c r="B271" s="17">
        <f t="shared" si="62"/>
        <v>0</v>
      </c>
      <c r="C271" s="18">
        <v>0.1</v>
      </c>
      <c r="D271" s="19">
        <v>0.05</v>
      </c>
      <c r="E271" s="20">
        <v>3.0</v>
      </c>
      <c r="F271" s="21" t="str">
        <f t="shared" si="63"/>
        <v>#DIV/0!</v>
      </c>
      <c r="G271" s="22">
        <f t="shared" si="64"/>
        <v>5</v>
      </c>
      <c r="H271" s="23">
        <f t="shared" si="65"/>
        <v>2.5</v>
      </c>
      <c r="I271" s="24">
        <f t="shared" si="66"/>
        <v>0</v>
      </c>
      <c r="J271" s="25"/>
      <c r="K271" s="26"/>
      <c r="L271" s="27">
        <f t="shared" si="67"/>
        <v>50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  <c r="AA271" s="9"/>
      <c r="AB271" s="9"/>
    </row>
    <row r="272" ht="15.75" hidden="1" customHeight="1" outlineLevel="1">
      <c r="A272" s="14">
        <v>46626.0</v>
      </c>
      <c r="B272" s="17">
        <f t="shared" si="62"/>
        <v>0</v>
      </c>
      <c r="C272" s="18">
        <v>0.1</v>
      </c>
      <c r="D272" s="19">
        <v>0.05</v>
      </c>
      <c r="E272" s="20">
        <v>3.0</v>
      </c>
      <c r="F272" s="21" t="str">
        <f t="shared" si="63"/>
        <v>#DIV/0!</v>
      </c>
      <c r="G272" s="22">
        <f t="shared" si="64"/>
        <v>5</v>
      </c>
      <c r="H272" s="23">
        <f t="shared" si="65"/>
        <v>2.5</v>
      </c>
      <c r="I272" s="24">
        <f t="shared" si="66"/>
        <v>0</v>
      </c>
      <c r="J272" s="25"/>
      <c r="K272" s="26"/>
      <c r="L272" s="27">
        <f t="shared" si="67"/>
        <v>50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  <c r="AA272" s="9"/>
      <c r="AB272" s="9"/>
    </row>
    <row r="273" ht="15.75" hidden="1" customHeight="1" outlineLevel="1">
      <c r="A273" s="14">
        <v>46627.0</v>
      </c>
      <c r="B273" s="17">
        <f t="shared" si="62"/>
        <v>0</v>
      </c>
      <c r="C273" s="18">
        <v>0.1</v>
      </c>
      <c r="D273" s="19">
        <v>0.05</v>
      </c>
      <c r="E273" s="20">
        <v>3.0</v>
      </c>
      <c r="F273" s="21" t="str">
        <f t="shared" si="63"/>
        <v>#DIV/0!</v>
      </c>
      <c r="G273" s="22">
        <f t="shared" si="64"/>
        <v>5</v>
      </c>
      <c r="H273" s="23">
        <f t="shared" si="65"/>
        <v>2.5</v>
      </c>
      <c r="I273" s="24">
        <f t="shared" si="66"/>
        <v>0</v>
      </c>
      <c r="J273" s="25"/>
      <c r="K273" s="26"/>
      <c r="L273" s="27">
        <f t="shared" si="67"/>
        <v>50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  <c r="AA273" s="9"/>
      <c r="AB273" s="9"/>
    </row>
    <row r="274" ht="15.75" hidden="1" customHeight="1" outlineLevel="1">
      <c r="A274" s="14">
        <v>46628.0</v>
      </c>
      <c r="B274" s="17">
        <f t="shared" si="62"/>
        <v>0</v>
      </c>
      <c r="C274" s="18">
        <v>0.1</v>
      </c>
      <c r="D274" s="19">
        <v>0.05</v>
      </c>
      <c r="E274" s="20">
        <v>3.0</v>
      </c>
      <c r="F274" s="21" t="str">
        <f t="shared" si="63"/>
        <v>#DIV/0!</v>
      </c>
      <c r="G274" s="22">
        <f t="shared" si="64"/>
        <v>5</v>
      </c>
      <c r="H274" s="23">
        <f t="shared" si="65"/>
        <v>2.5</v>
      </c>
      <c r="I274" s="24">
        <f t="shared" si="66"/>
        <v>0</v>
      </c>
      <c r="J274" s="25"/>
      <c r="K274" s="26"/>
      <c r="L274" s="27">
        <f t="shared" si="67"/>
        <v>50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  <c r="AA274" s="9"/>
      <c r="AB274" s="9"/>
    </row>
    <row r="275" ht="15.75" hidden="1" customHeight="1" outlineLevel="1">
      <c r="A275" s="14">
        <v>46629.0</v>
      </c>
      <c r="B275" s="17">
        <f t="shared" si="62"/>
        <v>0</v>
      </c>
      <c r="C275" s="18">
        <v>0.1</v>
      </c>
      <c r="D275" s="19">
        <v>0.05</v>
      </c>
      <c r="E275" s="20">
        <v>3.0</v>
      </c>
      <c r="F275" s="21" t="str">
        <f t="shared" si="63"/>
        <v>#DIV/0!</v>
      </c>
      <c r="G275" s="22">
        <f t="shared" si="64"/>
        <v>5</v>
      </c>
      <c r="H275" s="23">
        <f t="shared" si="65"/>
        <v>2.5</v>
      </c>
      <c r="I275" s="24">
        <f t="shared" si="66"/>
        <v>0</v>
      </c>
      <c r="J275" s="25"/>
      <c r="K275" s="26"/>
      <c r="L275" s="27">
        <f t="shared" si="67"/>
        <v>50</v>
      </c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  <c r="AA275" s="9"/>
      <c r="AB275" s="9"/>
    </row>
    <row r="276" ht="15.75" hidden="1" customHeight="1" outlineLevel="1">
      <c r="A276" s="14">
        <v>46630.0</v>
      </c>
      <c r="B276" s="17">
        <f t="shared" si="62"/>
        <v>0</v>
      </c>
      <c r="C276" s="18">
        <v>0.1</v>
      </c>
      <c r="D276" s="19">
        <v>0.05</v>
      </c>
      <c r="E276" s="20">
        <v>3.0</v>
      </c>
      <c r="F276" s="21" t="str">
        <f t="shared" si="63"/>
        <v>#DIV/0!</v>
      </c>
      <c r="G276" s="22">
        <f t="shared" si="64"/>
        <v>5</v>
      </c>
      <c r="H276" s="23">
        <f t="shared" si="65"/>
        <v>2.5</v>
      </c>
      <c r="I276" s="24">
        <f t="shared" si="66"/>
        <v>0</v>
      </c>
      <c r="J276" s="25"/>
      <c r="K276" s="26"/>
      <c r="L276" s="27">
        <f t="shared" si="67"/>
        <v>50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  <c r="AA276" s="9"/>
      <c r="AB276" s="9"/>
    </row>
    <row r="277" ht="15.75" hidden="1" customHeight="1" outlineLevel="1">
      <c r="A277" s="28" t="s">
        <v>18</v>
      </c>
      <c r="C277" s="29">
        <f>SUM(C246:C276)</f>
        <v>3.1</v>
      </c>
      <c r="D277" s="30"/>
      <c r="E277" s="30"/>
      <c r="F277" s="30"/>
      <c r="G277" s="30"/>
      <c r="H277" s="30"/>
      <c r="I277" s="30" t="str">
        <f t="shared" ref="I277:K277" si="68">SUM(I246:I276)</f>
        <v>#DIV/0!</v>
      </c>
      <c r="J277" s="32">
        <f t="shared" si="68"/>
        <v>0</v>
      </c>
      <c r="K277" s="30">
        <f t="shared" si="68"/>
        <v>0</v>
      </c>
      <c r="L277" s="32">
        <f>L276</f>
        <v>50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  <c r="AA277" s="9"/>
      <c r="AB277" s="9"/>
    </row>
    <row r="278" ht="15.75" customHeight="1">
      <c r="A278" s="38"/>
      <c r="B278" s="35"/>
      <c r="C278" s="35"/>
      <c r="D278" s="35"/>
      <c r="E278" s="35"/>
      <c r="F278" s="35"/>
      <c r="G278" s="35"/>
      <c r="H278" s="35"/>
      <c r="I278" s="35"/>
      <c r="J278" s="35"/>
      <c r="K278" s="37">
        <f>SUM(K246:K276)</f>
        <v>0</v>
      </c>
      <c r="L278" s="35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  <c r="AA278" s="9"/>
      <c r="AB278" s="9"/>
    </row>
    <row r="279" ht="15.75" customHeight="1" collapsed="1">
      <c r="A279" s="1" t="s">
        <v>27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  <c r="AA279" s="9"/>
      <c r="AB279" s="9"/>
    </row>
    <row r="280" ht="15.75" hidden="1" customHeight="1" outlineLevel="1">
      <c r="A280" s="14" t="s">
        <v>6</v>
      </c>
      <c r="B280" s="1" t="s">
        <v>7</v>
      </c>
      <c r="C280" s="1" t="s">
        <v>8</v>
      </c>
      <c r="D280" s="15" t="s">
        <v>9</v>
      </c>
      <c r="E280" s="15" t="s">
        <v>10</v>
      </c>
      <c r="F280" s="15" t="s">
        <v>11</v>
      </c>
      <c r="G280" s="16" t="s">
        <v>12</v>
      </c>
      <c r="H280" s="15" t="s">
        <v>13</v>
      </c>
      <c r="I280" s="1" t="s">
        <v>14</v>
      </c>
      <c r="J280" s="17" t="s">
        <v>15</v>
      </c>
      <c r="K280" s="1" t="s">
        <v>16</v>
      </c>
      <c r="L280" s="1" t="s">
        <v>17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  <c r="AA280" s="9"/>
      <c r="AB280" s="9"/>
    </row>
    <row r="281" ht="15.75" hidden="1" customHeight="1" outlineLevel="1">
      <c r="A281" s="14">
        <v>46631.0</v>
      </c>
      <c r="B281" s="17">
        <f t="shared" ref="B281:B310" si="69">ROUND(AVERAGE((H281/1000)/E281), 2)</f>
        <v>0</v>
      </c>
      <c r="C281" s="18">
        <v>0.1</v>
      </c>
      <c r="D281" s="19">
        <v>0.05</v>
      </c>
      <c r="E281" s="20">
        <v>3.0</v>
      </c>
      <c r="F281" s="21" t="str">
        <f t="shared" ref="F281:F310" si="70">H281/B281</f>
        <v>#DIV/0!</v>
      </c>
      <c r="G281" s="22">
        <f>L277*C281</f>
        <v>5</v>
      </c>
      <c r="H281" s="23">
        <f>L277*D281</f>
        <v>2.5</v>
      </c>
      <c r="I281" s="24" t="str">
        <f>(J281/B276)*100</f>
        <v>#DIV/0!</v>
      </c>
      <c r="J281" s="25"/>
      <c r="K281" s="26"/>
      <c r="L281" s="27">
        <f>(L277+J281)-K281</f>
        <v>50</v>
      </c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  <c r="AA281" s="9"/>
      <c r="AB281" s="9"/>
    </row>
    <row r="282" ht="15.75" hidden="1" customHeight="1" outlineLevel="1">
      <c r="A282" s="14">
        <v>46632.0</v>
      </c>
      <c r="B282" s="17">
        <f t="shared" si="69"/>
        <v>0</v>
      </c>
      <c r="C282" s="18">
        <v>0.1</v>
      </c>
      <c r="D282" s="19">
        <v>0.05</v>
      </c>
      <c r="E282" s="20">
        <v>3.0</v>
      </c>
      <c r="F282" s="21" t="str">
        <f t="shared" si="70"/>
        <v>#DIV/0!</v>
      </c>
      <c r="G282" s="22">
        <f t="shared" ref="G282:G310" si="71">L281*C282</f>
        <v>5</v>
      </c>
      <c r="H282" s="23">
        <f t="shared" ref="H282:H310" si="72">L281*D282</f>
        <v>2.5</v>
      </c>
      <c r="I282" s="24">
        <f t="shared" ref="I282:I310" si="73">(J282/L281)*100</f>
        <v>0</v>
      </c>
      <c r="J282" s="25"/>
      <c r="K282" s="26"/>
      <c r="L282" s="27">
        <f t="shared" ref="L282:L310" si="74">(L281+J282)-K282</f>
        <v>50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  <c r="AA282" s="9"/>
      <c r="AB282" s="9"/>
    </row>
    <row r="283" ht="15.75" hidden="1" customHeight="1" outlineLevel="1">
      <c r="A283" s="14">
        <v>46633.0</v>
      </c>
      <c r="B283" s="17">
        <f t="shared" si="69"/>
        <v>0</v>
      </c>
      <c r="C283" s="18">
        <v>0.1</v>
      </c>
      <c r="D283" s="19">
        <v>0.05</v>
      </c>
      <c r="E283" s="20">
        <v>3.0</v>
      </c>
      <c r="F283" s="21" t="str">
        <f t="shared" si="70"/>
        <v>#DIV/0!</v>
      </c>
      <c r="G283" s="22">
        <f t="shared" si="71"/>
        <v>5</v>
      </c>
      <c r="H283" s="23">
        <f t="shared" si="72"/>
        <v>2.5</v>
      </c>
      <c r="I283" s="24">
        <f t="shared" si="73"/>
        <v>0</v>
      </c>
      <c r="J283" s="25"/>
      <c r="K283" s="26"/>
      <c r="L283" s="27">
        <f t="shared" si="74"/>
        <v>50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  <c r="AA283" s="9"/>
      <c r="AB283" s="9"/>
    </row>
    <row r="284" ht="15.75" hidden="1" customHeight="1" outlineLevel="1">
      <c r="A284" s="14">
        <v>46634.0</v>
      </c>
      <c r="B284" s="17">
        <f t="shared" si="69"/>
        <v>0</v>
      </c>
      <c r="C284" s="18">
        <v>0.1</v>
      </c>
      <c r="D284" s="19">
        <v>0.05</v>
      </c>
      <c r="E284" s="20">
        <v>3.0</v>
      </c>
      <c r="F284" s="21" t="str">
        <f t="shared" si="70"/>
        <v>#DIV/0!</v>
      </c>
      <c r="G284" s="22">
        <f t="shared" si="71"/>
        <v>5</v>
      </c>
      <c r="H284" s="23">
        <f t="shared" si="72"/>
        <v>2.5</v>
      </c>
      <c r="I284" s="24">
        <f t="shared" si="73"/>
        <v>0</v>
      </c>
      <c r="J284" s="25"/>
      <c r="K284" s="26"/>
      <c r="L284" s="27">
        <f t="shared" si="74"/>
        <v>50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  <c r="AA284" s="9"/>
      <c r="AB284" s="9"/>
    </row>
    <row r="285" ht="15.75" hidden="1" customHeight="1" outlineLevel="1">
      <c r="A285" s="14">
        <v>46635.0</v>
      </c>
      <c r="B285" s="17">
        <f t="shared" si="69"/>
        <v>0</v>
      </c>
      <c r="C285" s="18">
        <v>0.1</v>
      </c>
      <c r="D285" s="19">
        <v>0.05</v>
      </c>
      <c r="E285" s="20">
        <v>3.0</v>
      </c>
      <c r="F285" s="21" t="str">
        <f t="shared" si="70"/>
        <v>#DIV/0!</v>
      </c>
      <c r="G285" s="22">
        <f t="shared" si="71"/>
        <v>5</v>
      </c>
      <c r="H285" s="23">
        <f t="shared" si="72"/>
        <v>2.5</v>
      </c>
      <c r="I285" s="24">
        <f t="shared" si="73"/>
        <v>0</v>
      </c>
      <c r="J285" s="25"/>
      <c r="K285" s="26"/>
      <c r="L285" s="27">
        <f t="shared" si="74"/>
        <v>50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  <c r="AA285" s="9"/>
      <c r="AB285" s="9"/>
    </row>
    <row r="286" ht="15.75" hidden="1" customHeight="1" outlineLevel="1">
      <c r="A286" s="14">
        <v>46636.0</v>
      </c>
      <c r="B286" s="17">
        <f t="shared" si="69"/>
        <v>0</v>
      </c>
      <c r="C286" s="18">
        <v>0.1</v>
      </c>
      <c r="D286" s="19">
        <v>0.05</v>
      </c>
      <c r="E286" s="20">
        <v>3.0</v>
      </c>
      <c r="F286" s="21" t="str">
        <f t="shared" si="70"/>
        <v>#DIV/0!</v>
      </c>
      <c r="G286" s="22">
        <f t="shared" si="71"/>
        <v>5</v>
      </c>
      <c r="H286" s="23">
        <f t="shared" si="72"/>
        <v>2.5</v>
      </c>
      <c r="I286" s="24">
        <f t="shared" si="73"/>
        <v>0</v>
      </c>
      <c r="J286" s="25"/>
      <c r="K286" s="26"/>
      <c r="L286" s="27">
        <f t="shared" si="74"/>
        <v>50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  <c r="AA286" s="9"/>
      <c r="AB286" s="9"/>
    </row>
    <row r="287" ht="15.75" hidden="1" customHeight="1" outlineLevel="1">
      <c r="A287" s="14">
        <v>46637.0</v>
      </c>
      <c r="B287" s="17">
        <f t="shared" si="69"/>
        <v>0</v>
      </c>
      <c r="C287" s="18">
        <v>0.1</v>
      </c>
      <c r="D287" s="19">
        <v>0.05</v>
      </c>
      <c r="E287" s="20">
        <v>3.0</v>
      </c>
      <c r="F287" s="21" t="str">
        <f t="shared" si="70"/>
        <v>#DIV/0!</v>
      </c>
      <c r="G287" s="22">
        <f t="shared" si="71"/>
        <v>5</v>
      </c>
      <c r="H287" s="23">
        <f t="shared" si="72"/>
        <v>2.5</v>
      </c>
      <c r="I287" s="24">
        <f t="shared" si="73"/>
        <v>0</v>
      </c>
      <c r="J287" s="25"/>
      <c r="K287" s="26"/>
      <c r="L287" s="27">
        <f t="shared" si="74"/>
        <v>50</v>
      </c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  <c r="AA287" s="9"/>
      <c r="AB287" s="9"/>
    </row>
    <row r="288" ht="15.75" hidden="1" customHeight="1" outlineLevel="1">
      <c r="A288" s="14">
        <v>46638.0</v>
      </c>
      <c r="B288" s="17">
        <f t="shared" si="69"/>
        <v>0</v>
      </c>
      <c r="C288" s="18">
        <v>0.1</v>
      </c>
      <c r="D288" s="19">
        <v>0.05</v>
      </c>
      <c r="E288" s="20">
        <v>3.0</v>
      </c>
      <c r="F288" s="21" t="str">
        <f t="shared" si="70"/>
        <v>#DIV/0!</v>
      </c>
      <c r="G288" s="22">
        <f t="shared" si="71"/>
        <v>5</v>
      </c>
      <c r="H288" s="23">
        <f t="shared" si="72"/>
        <v>2.5</v>
      </c>
      <c r="I288" s="24">
        <f t="shared" si="73"/>
        <v>0</v>
      </c>
      <c r="J288" s="25"/>
      <c r="K288" s="26"/>
      <c r="L288" s="27">
        <f t="shared" si="74"/>
        <v>50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  <c r="AA288" s="9"/>
      <c r="AB288" s="9"/>
    </row>
    <row r="289" ht="15.75" hidden="1" customHeight="1" outlineLevel="1">
      <c r="A289" s="14">
        <v>46639.0</v>
      </c>
      <c r="B289" s="17">
        <f t="shared" si="69"/>
        <v>0</v>
      </c>
      <c r="C289" s="18">
        <v>0.1</v>
      </c>
      <c r="D289" s="19">
        <v>0.05</v>
      </c>
      <c r="E289" s="20">
        <v>3.0</v>
      </c>
      <c r="F289" s="21" t="str">
        <f t="shared" si="70"/>
        <v>#DIV/0!</v>
      </c>
      <c r="G289" s="22">
        <f t="shared" si="71"/>
        <v>5</v>
      </c>
      <c r="H289" s="23">
        <f t="shared" si="72"/>
        <v>2.5</v>
      </c>
      <c r="I289" s="24">
        <f t="shared" si="73"/>
        <v>0</v>
      </c>
      <c r="J289" s="25"/>
      <c r="K289" s="26"/>
      <c r="L289" s="27">
        <f t="shared" si="74"/>
        <v>50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  <c r="AA289" s="9"/>
      <c r="AB289" s="9"/>
    </row>
    <row r="290" ht="15.75" hidden="1" customHeight="1" outlineLevel="1">
      <c r="A290" s="14">
        <v>46640.0</v>
      </c>
      <c r="B290" s="17">
        <f t="shared" si="69"/>
        <v>0</v>
      </c>
      <c r="C290" s="18">
        <v>0.1</v>
      </c>
      <c r="D290" s="19">
        <v>0.05</v>
      </c>
      <c r="E290" s="20">
        <v>3.0</v>
      </c>
      <c r="F290" s="21" t="str">
        <f t="shared" si="70"/>
        <v>#DIV/0!</v>
      </c>
      <c r="G290" s="22">
        <f t="shared" si="71"/>
        <v>5</v>
      </c>
      <c r="H290" s="23">
        <f t="shared" si="72"/>
        <v>2.5</v>
      </c>
      <c r="I290" s="24">
        <f t="shared" si="73"/>
        <v>0</v>
      </c>
      <c r="J290" s="25"/>
      <c r="K290" s="26"/>
      <c r="L290" s="27">
        <f t="shared" si="74"/>
        <v>50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  <c r="AA290" s="9"/>
      <c r="AB290" s="9"/>
    </row>
    <row r="291" ht="15.75" hidden="1" customHeight="1" outlineLevel="1">
      <c r="A291" s="14">
        <v>46641.0</v>
      </c>
      <c r="B291" s="17">
        <f t="shared" si="69"/>
        <v>0</v>
      </c>
      <c r="C291" s="18">
        <v>0.1</v>
      </c>
      <c r="D291" s="19">
        <v>0.05</v>
      </c>
      <c r="E291" s="20">
        <v>3.0</v>
      </c>
      <c r="F291" s="21" t="str">
        <f t="shared" si="70"/>
        <v>#DIV/0!</v>
      </c>
      <c r="G291" s="22">
        <f t="shared" si="71"/>
        <v>5</v>
      </c>
      <c r="H291" s="23">
        <f t="shared" si="72"/>
        <v>2.5</v>
      </c>
      <c r="I291" s="24">
        <f t="shared" si="73"/>
        <v>0</v>
      </c>
      <c r="J291" s="25"/>
      <c r="K291" s="26"/>
      <c r="L291" s="27">
        <f t="shared" si="74"/>
        <v>50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  <c r="AA291" s="9"/>
      <c r="AB291" s="9"/>
    </row>
    <row r="292" ht="15.75" hidden="1" customHeight="1" outlineLevel="1">
      <c r="A292" s="14">
        <v>46642.0</v>
      </c>
      <c r="B292" s="17">
        <f t="shared" si="69"/>
        <v>0</v>
      </c>
      <c r="C292" s="18">
        <v>0.1</v>
      </c>
      <c r="D292" s="19">
        <v>0.05</v>
      </c>
      <c r="E292" s="20">
        <v>3.0</v>
      </c>
      <c r="F292" s="21" t="str">
        <f t="shared" si="70"/>
        <v>#DIV/0!</v>
      </c>
      <c r="G292" s="22">
        <f t="shared" si="71"/>
        <v>5</v>
      </c>
      <c r="H292" s="23">
        <f t="shared" si="72"/>
        <v>2.5</v>
      </c>
      <c r="I292" s="24">
        <f t="shared" si="73"/>
        <v>0</v>
      </c>
      <c r="J292" s="25"/>
      <c r="K292" s="26"/>
      <c r="L292" s="27">
        <f t="shared" si="74"/>
        <v>50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  <c r="AA292" s="9"/>
      <c r="AB292" s="9"/>
    </row>
    <row r="293" ht="15.75" hidden="1" customHeight="1" outlineLevel="1">
      <c r="A293" s="14">
        <v>46643.0</v>
      </c>
      <c r="B293" s="17">
        <f t="shared" si="69"/>
        <v>0</v>
      </c>
      <c r="C293" s="18">
        <v>0.1</v>
      </c>
      <c r="D293" s="19">
        <v>0.05</v>
      </c>
      <c r="E293" s="20">
        <v>3.0</v>
      </c>
      <c r="F293" s="21" t="str">
        <f t="shared" si="70"/>
        <v>#DIV/0!</v>
      </c>
      <c r="G293" s="22">
        <f t="shared" si="71"/>
        <v>5</v>
      </c>
      <c r="H293" s="23">
        <f t="shared" si="72"/>
        <v>2.5</v>
      </c>
      <c r="I293" s="24">
        <f t="shared" si="73"/>
        <v>0</v>
      </c>
      <c r="J293" s="25"/>
      <c r="K293" s="26"/>
      <c r="L293" s="27">
        <f t="shared" si="74"/>
        <v>50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  <c r="AA293" s="9"/>
      <c r="AB293" s="9"/>
    </row>
    <row r="294" ht="15.75" hidden="1" customHeight="1" outlineLevel="1">
      <c r="A294" s="14">
        <v>46644.0</v>
      </c>
      <c r="B294" s="17">
        <f t="shared" si="69"/>
        <v>0</v>
      </c>
      <c r="C294" s="18">
        <v>0.1</v>
      </c>
      <c r="D294" s="19">
        <v>0.05</v>
      </c>
      <c r="E294" s="20">
        <v>3.0</v>
      </c>
      <c r="F294" s="21" t="str">
        <f t="shared" si="70"/>
        <v>#DIV/0!</v>
      </c>
      <c r="G294" s="22">
        <f t="shared" si="71"/>
        <v>5</v>
      </c>
      <c r="H294" s="23">
        <f t="shared" si="72"/>
        <v>2.5</v>
      </c>
      <c r="I294" s="24">
        <f t="shared" si="73"/>
        <v>0</v>
      </c>
      <c r="J294" s="25"/>
      <c r="K294" s="26"/>
      <c r="L294" s="27">
        <f t="shared" si="74"/>
        <v>50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  <c r="AA294" s="9"/>
      <c r="AB294" s="9"/>
    </row>
    <row r="295" ht="15.75" hidden="1" customHeight="1" outlineLevel="1">
      <c r="A295" s="14">
        <v>46645.0</v>
      </c>
      <c r="B295" s="17">
        <f t="shared" si="69"/>
        <v>0</v>
      </c>
      <c r="C295" s="18">
        <v>0.1</v>
      </c>
      <c r="D295" s="19">
        <v>0.05</v>
      </c>
      <c r="E295" s="20">
        <v>3.0</v>
      </c>
      <c r="F295" s="21" t="str">
        <f t="shared" si="70"/>
        <v>#DIV/0!</v>
      </c>
      <c r="G295" s="22">
        <f t="shared" si="71"/>
        <v>5</v>
      </c>
      <c r="H295" s="23">
        <f t="shared" si="72"/>
        <v>2.5</v>
      </c>
      <c r="I295" s="24">
        <f t="shared" si="73"/>
        <v>0</v>
      </c>
      <c r="J295" s="25"/>
      <c r="K295" s="26"/>
      <c r="L295" s="27">
        <f t="shared" si="74"/>
        <v>50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  <c r="AA295" s="9"/>
      <c r="AB295" s="9"/>
    </row>
    <row r="296" ht="15.75" hidden="1" customHeight="1" outlineLevel="1">
      <c r="A296" s="14">
        <v>46646.0</v>
      </c>
      <c r="B296" s="17">
        <f t="shared" si="69"/>
        <v>0</v>
      </c>
      <c r="C296" s="18">
        <v>0.1</v>
      </c>
      <c r="D296" s="19">
        <v>0.05</v>
      </c>
      <c r="E296" s="20">
        <v>3.0</v>
      </c>
      <c r="F296" s="21" t="str">
        <f t="shared" si="70"/>
        <v>#DIV/0!</v>
      </c>
      <c r="G296" s="22">
        <f t="shared" si="71"/>
        <v>5</v>
      </c>
      <c r="H296" s="23">
        <f t="shared" si="72"/>
        <v>2.5</v>
      </c>
      <c r="I296" s="24">
        <f t="shared" si="73"/>
        <v>0</v>
      </c>
      <c r="J296" s="25"/>
      <c r="K296" s="26"/>
      <c r="L296" s="27">
        <f t="shared" si="74"/>
        <v>50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  <c r="AA296" s="9"/>
      <c r="AB296" s="9"/>
    </row>
    <row r="297" ht="15.75" hidden="1" customHeight="1" outlineLevel="1">
      <c r="A297" s="14">
        <v>46647.0</v>
      </c>
      <c r="B297" s="17">
        <f t="shared" si="69"/>
        <v>0</v>
      </c>
      <c r="C297" s="18">
        <v>0.1</v>
      </c>
      <c r="D297" s="19">
        <v>0.05</v>
      </c>
      <c r="E297" s="20">
        <v>3.0</v>
      </c>
      <c r="F297" s="21" t="str">
        <f t="shared" si="70"/>
        <v>#DIV/0!</v>
      </c>
      <c r="G297" s="22">
        <f t="shared" si="71"/>
        <v>5</v>
      </c>
      <c r="H297" s="23">
        <f t="shared" si="72"/>
        <v>2.5</v>
      </c>
      <c r="I297" s="24">
        <f t="shared" si="73"/>
        <v>0</v>
      </c>
      <c r="J297" s="25"/>
      <c r="K297" s="26"/>
      <c r="L297" s="27">
        <f t="shared" si="74"/>
        <v>50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  <c r="AA297" s="9"/>
      <c r="AB297" s="9"/>
    </row>
    <row r="298" ht="15.75" hidden="1" customHeight="1" outlineLevel="1">
      <c r="A298" s="14">
        <v>46648.0</v>
      </c>
      <c r="B298" s="17">
        <f t="shared" si="69"/>
        <v>0</v>
      </c>
      <c r="C298" s="18">
        <v>0.1</v>
      </c>
      <c r="D298" s="19">
        <v>0.05</v>
      </c>
      <c r="E298" s="20">
        <v>3.0</v>
      </c>
      <c r="F298" s="21" t="str">
        <f t="shared" si="70"/>
        <v>#DIV/0!</v>
      </c>
      <c r="G298" s="22">
        <f t="shared" si="71"/>
        <v>5</v>
      </c>
      <c r="H298" s="23">
        <f t="shared" si="72"/>
        <v>2.5</v>
      </c>
      <c r="I298" s="24">
        <f t="shared" si="73"/>
        <v>0</v>
      </c>
      <c r="J298" s="25"/>
      <c r="K298" s="26"/>
      <c r="L298" s="27">
        <f t="shared" si="74"/>
        <v>50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  <c r="AA298" s="9"/>
      <c r="AB298" s="9"/>
    </row>
    <row r="299" ht="15.75" hidden="1" customHeight="1" outlineLevel="1">
      <c r="A299" s="14">
        <v>46649.0</v>
      </c>
      <c r="B299" s="17">
        <f t="shared" si="69"/>
        <v>0</v>
      </c>
      <c r="C299" s="18">
        <v>0.1</v>
      </c>
      <c r="D299" s="19">
        <v>0.05</v>
      </c>
      <c r="E299" s="20">
        <v>3.0</v>
      </c>
      <c r="F299" s="21" t="str">
        <f t="shared" si="70"/>
        <v>#DIV/0!</v>
      </c>
      <c r="G299" s="22">
        <f t="shared" si="71"/>
        <v>5</v>
      </c>
      <c r="H299" s="23">
        <f t="shared" si="72"/>
        <v>2.5</v>
      </c>
      <c r="I299" s="24">
        <f t="shared" si="73"/>
        <v>0</v>
      </c>
      <c r="J299" s="25"/>
      <c r="K299" s="26"/>
      <c r="L299" s="27">
        <f t="shared" si="74"/>
        <v>50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  <c r="AA299" s="9"/>
      <c r="AB299" s="9"/>
    </row>
    <row r="300" ht="15.75" hidden="1" customHeight="1" outlineLevel="1">
      <c r="A300" s="14">
        <v>46650.0</v>
      </c>
      <c r="B300" s="17">
        <f t="shared" si="69"/>
        <v>0</v>
      </c>
      <c r="C300" s="18">
        <v>0.1</v>
      </c>
      <c r="D300" s="19">
        <v>0.05</v>
      </c>
      <c r="E300" s="20">
        <v>3.0</v>
      </c>
      <c r="F300" s="21" t="str">
        <f t="shared" si="70"/>
        <v>#DIV/0!</v>
      </c>
      <c r="G300" s="22">
        <f t="shared" si="71"/>
        <v>5</v>
      </c>
      <c r="H300" s="23">
        <f t="shared" si="72"/>
        <v>2.5</v>
      </c>
      <c r="I300" s="24">
        <f t="shared" si="73"/>
        <v>0</v>
      </c>
      <c r="J300" s="25"/>
      <c r="K300" s="26"/>
      <c r="L300" s="27">
        <f t="shared" si="74"/>
        <v>50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  <c r="AA300" s="9"/>
      <c r="AB300" s="9"/>
    </row>
    <row r="301" ht="15.75" hidden="1" customHeight="1" outlineLevel="1">
      <c r="A301" s="14">
        <v>46651.0</v>
      </c>
      <c r="B301" s="17">
        <f t="shared" si="69"/>
        <v>0</v>
      </c>
      <c r="C301" s="18">
        <v>0.1</v>
      </c>
      <c r="D301" s="19">
        <v>0.05</v>
      </c>
      <c r="E301" s="20">
        <v>3.0</v>
      </c>
      <c r="F301" s="21" t="str">
        <f t="shared" si="70"/>
        <v>#DIV/0!</v>
      </c>
      <c r="G301" s="22">
        <f t="shared" si="71"/>
        <v>5</v>
      </c>
      <c r="H301" s="23">
        <f t="shared" si="72"/>
        <v>2.5</v>
      </c>
      <c r="I301" s="24">
        <f t="shared" si="73"/>
        <v>0</v>
      </c>
      <c r="J301" s="25"/>
      <c r="K301" s="26"/>
      <c r="L301" s="27">
        <f t="shared" si="74"/>
        <v>50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  <c r="AA301" s="9"/>
      <c r="AB301" s="9"/>
    </row>
    <row r="302" ht="15.75" hidden="1" customHeight="1" outlineLevel="1">
      <c r="A302" s="14">
        <v>46652.0</v>
      </c>
      <c r="B302" s="17">
        <f t="shared" si="69"/>
        <v>0</v>
      </c>
      <c r="C302" s="18">
        <v>0.1</v>
      </c>
      <c r="D302" s="19">
        <v>0.05</v>
      </c>
      <c r="E302" s="20">
        <v>3.0</v>
      </c>
      <c r="F302" s="21" t="str">
        <f t="shared" si="70"/>
        <v>#DIV/0!</v>
      </c>
      <c r="G302" s="22">
        <f t="shared" si="71"/>
        <v>5</v>
      </c>
      <c r="H302" s="23">
        <f t="shared" si="72"/>
        <v>2.5</v>
      </c>
      <c r="I302" s="24">
        <f t="shared" si="73"/>
        <v>0</v>
      </c>
      <c r="J302" s="25"/>
      <c r="K302" s="26"/>
      <c r="L302" s="27">
        <f t="shared" si="74"/>
        <v>50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  <c r="AA302" s="9"/>
      <c r="AB302" s="9"/>
    </row>
    <row r="303" ht="15.75" hidden="1" customHeight="1" outlineLevel="1">
      <c r="A303" s="14">
        <v>46653.0</v>
      </c>
      <c r="B303" s="17">
        <f t="shared" si="69"/>
        <v>0</v>
      </c>
      <c r="C303" s="18">
        <v>0.1</v>
      </c>
      <c r="D303" s="19">
        <v>0.05</v>
      </c>
      <c r="E303" s="20">
        <v>3.0</v>
      </c>
      <c r="F303" s="21" t="str">
        <f t="shared" si="70"/>
        <v>#DIV/0!</v>
      </c>
      <c r="G303" s="22">
        <f t="shared" si="71"/>
        <v>5</v>
      </c>
      <c r="H303" s="23">
        <f t="shared" si="72"/>
        <v>2.5</v>
      </c>
      <c r="I303" s="24">
        <f t="shared" si="73"/>
        <v>0</v>
      </c>
      <c r="J303" s="25"/>
      <c r="K303" s="26"/>
      <c r="L303" s="27">
        <f t="shared" si="74"/>
        <v>50</v>
      </c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  <c r="AA303" s="9"/>
      <c r="AB303" s="9"/>
    </row>
    <row r="304" ht="15.75" hidden="1" customHeight="1" outlineLevel="1">
      <c r="A304" s="14">
        <v>46654.0</v>
      </c>
      <c r="B304" s="17">
        <f t="shared" si="69"/>
        <v>0</v>
      </c>
      <c r="C304" s="18">
        <v>0.1</v>
      </c>
      <c r="D304" s="19">
        <v>0.05</v>
      </c>
      <c r="E304" s="20">
        <v>3.0</v>
      </c>
      <c r="F304" s="21" t="str">
        <f t="shared" si="70"/>
        <v>#DIV/0!</v>
      </c>
      <c r="G304" s="22">
        <f t="shared" si="71"/>
        <v>5</v>
      </c>
      <c r="H304" s="23">
        <f t="shared" si="72"/>
        <v>2.5</v>
      </c>
      <c r="I304" s="24">
        <f t="shared" si="73"/>
        <v>0</v>
      </c>
      <c r="J304" s="25"/>
      <c r="K304" s="26"/>
      <c r="L304" s="27">
        <f t="shared" si="74"/>
        <v>50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  <c r="AA304" s="9"/>
      <c r="AB304" s="9"/>
    </row>
    <row r="305" ht="15.75" hidden="1" customHeight="1" outlineLevel="1">
      <c r="A305" s="14">
        <v>46655.0</v>
      </c>
      <c r="B305" s="17">
        <f t="shared" si="69"/>
        <v>0</v>
      </c>
      <c r="C305" s="18">
        <v>0.1</v>
      </c>
      <c r="D305" s="19">
        <v>0.05</v>
      </c>
      <c r="E305" s="20">
        <v>3.0</v>
      </c>
      <c r="F305" s="21" t="str">
        <f t="shared" si="70"/>
        <v>#DIV/0!</v>
      </c>
      <c r="G305" s="22">
        <f t="shared" si="71"/>
        <v>5</v>
      </c>
      <c r="H305" s="23">
        <f t="shared" si="72"/>
        <v>2.5</v>
      </c>
      <c r="I305" s="24">
        <f t="shared" si="73"/>
        <v>0</v>
      </c>
      <c r="J305" s="25"/>
      <c r="K305" s="26"/>
      <c r="L305" s="27">
        <f t="shared" si="74"/>
        <v>50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  <c r="AA305" s="9"/>
      <c r="AB305" s="9"/>
    </row>
    <row r="306" ht="15.75" hidden="1" customHeight="1" outlineLevel="1">
      <c r="A306" s="14">
        <v>46656.0</v>
      </c>
      <c r="B306" s="17">
        <f t="shared" si="69"/>
        <v>0</v>
      </c>
      <c r="C306" s="18">
        <v>0.1</v>
      </c>
      <c r="D306" s="19">
        <v>0.05</v>
      </c>
      <c r="E306" s="20">
        <v>3.0</v>
      </c>
      <c r="F306" s="21" t="str">
        <f t="shared" si="70"/>
        <v>#DIV/0!</v>
      </c>
      <c r="G306" s="22">
        <f t="shared" si="71"/>
        <v>5</v>
      </c>
      <c r="H306" s="23">
        <f t="shared" si="72"/>
        <v>2.5</v>
      </c>
      <c r="I306" s="24">
        <f t="shared" si="73"/>
        <v>0</v>
      </c>
      <c r="J306" s="25"/>
      <c r="K306" s="26"/>
      <c r="L306" s="27">
        <f t="shared" si="74"/>
        <v>50</v>
      </c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  <c r="AA306" s="9"/>
      <c r="AB306" s="9"/>
    </row>
    <row r="307" ht="15.75" hidden="1" customHeight="1" outlineLevel="1">
      <c r="A307" s="14">
        <v>46657.0</v>
      </c>
      <c r="B307" s="17">
        <f t="shared" si="69"/>
        <v>0</v>
      </c>
      <c r="C307" s="18">
        <v>0.1</v>
      </c>
      <c r="D307" s="19">
        <v>0.05</v>
      </c>
      <c r="E307" s="20">
        <v>3.0</v>
      </c>
      <c r="F307" s="21" t="str">
        <f t="shared" si="70"/>
        <v>#DIV/0!</v>
      </c>
      <c r="G307" s="22">
        <f t="shared" si="71"/>
        <v>5</v>
      </c>
      <c r="H307" s="23">
        <f t="shared" si="72"/>
        <v>2.5</v>
      </c>
      <c r="I307" s="24">
        <f t="shared" si="73"/>
        <v>0</v>
      </c>
      <c r="J307" s="25"/>
      <c r="K307" s="26"/>
      <c r="L307" s="27">
        <f t="shared" si="74"/>
        <v>50</v>
      </c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  <c r="AA307" s="9"/>
      <c r="AB307" s="9"/>
    </row>
    <row r="308" ht="15.75" hidden="1" customHeight="1" outlineLevel="1">
      <c r="A308" s="14">
        <v>46658.0</v>
      </c>
      <c r="B308" s="17">
        <f t="shared" si="69"/>
        <v>0</v>
      </c>
      <c r="C308" s="18">
        <v>0.1</v>
      </c>
      <c r="D308" s="19">
        <v>0.05</v>
      </c>
      <c r="E308" s="20">
        <v>3.0</v>
      </c>
      <c r="F308" s="21" t="str">
        <f t="shared" si="70"/>
        <v>#DIV/0!</v>
      </c>
      <c r="G308" s="22">
        <f t="shared" si="71"/>
        <v>5</v>
      </c>
      <c r="H308" s="23">
        <f t="shared" si="72"/>
        <v>2.5</v>
      </c>
      <c r="I308" s="24">
        <f t="shared" si="73"/>
        <v>0</v>
      </c>
      <c r="J308" s="25"/>
      <c r="K308" s="26"/>
      <c r="L308" s="27">
        <f t="shared" si="74"/>
        <v>50</v>
      </c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  <c r="AA308" s="9"/>
      <c r="AB308" s="9"/>
    </row>
    <row r="309" ht="15.75" hidden="1" customHeight="1" outlineLevel="1">
      <c r="A309" s="14">
        <v>46659.0</v>
      </c>
      <c r="B309" s="17">
        <f t="shared" si="69"/>
        <v>0</v>
      </c>
      <c r="C309" s="18">
        <v>0.1</v>
      </c>
      <c r="D309" s="19">
        <v>0.05</v>
      </c>
      <c r="E309" s="20">
        <v>3.0</v>
      </c>
      <c r="F309" s="21" t="str">
        <f t="shared" si="70"/>
        <v>#DIV/0!</v>
      </c>
      <c r="G309" s="22">
        <f t="shared" si="71"/>
        <v>5</v>
      </c>
      <c r="H309" s="23">
        <f t="shared" si="72"/>
        <v>2.5</v>
      </c>
      <c r="I309" s="24">
        <f t="shared" si="73"/>
        <v>0</v>
      </c>
      <c r="J309" s="25"/>
      <c r="K309" s="26"/>
      <c r="L309" s="27">
        <f t="shared" si="74"/>
        <v>50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  <c r="AA309" s="9"/>
      <c r="AB309" s="9"/>
    </row>
    <row r="310" ht="15.75" hidden="1" customHeight="1" outlineLevel="1">
      <c r="A310" s="14">
        <v>46660.0</v>
      </c>
      <c r="B310" s="17">
        <f t="shared" si="69"/>
        <v>0</v>
      </c>
      <c r="C310" s="18">
        <v>0.1</v>
      </c>
      <c r="D310" s="19">
        <v>0.05</v>
      </c>
      <c r="E310" s="20">
        <v>3.0</v>
      </c>
      <c r="F310" s="21" t="str">
        <f t="shared" si="70"/>
        <v>#DIV/0!</v>
      </c>
      <c r="G310" s="22">
        <f t="shared" si="71"/>
        <v>5</v>
      </c>
      <c r="H310" s="23">
        <f t="shared" si="72"/>
        <v>2.5</v>
      </c>
      <c r="I310" s="24">
        <f t="shared" si="73"/>
        <v>0</v>
      </c>
      <c r="J310" s="25"/>
      <c r="K310" s="26"/>
      <c r="L310" s="27">
        <f t="shared" si="74"/>
        <v>50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  <c r="AA310" s="9"/>
      <c r="AB310" s="9"/>
    </row>
    <row r="311" ht="15.75" hidden="1" customHeight="1" outlineLevel="1">
      <c r="A311" s="28" t="s">
        <v>18</v>
      </c>
      <c r="C311" s="29">
        <f>SUM(C281:C310)</f>
        <v>3</v>
      </c>
      <c r="D311" s="30"/>
      <c r="E311" s="30"/>
      <c r="F311" s="30"/>
      <c r="G311" s="30"/>
      <c r="H311" s="30"/>
      <c r="I311" s="30" t="str">
        <f t="shared" ref="I311:K311" si="75">SUM(I281:I310)</f>
        <v>#DIV/0!</v>
      </c>
      <c r="J311" s="32">
        <f t="shared" si="75"/>
        <v>0</v>
      </c>
      <c r="K311" s="30">
        <f t="shared" si="75"/>
        <v>0</v>
      </c>
      <c r="L311" s="32">
        <f>L310</f>
        <v>50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  <c r="AA311" s="9"/>
      <c r="AB311" s="9"/>
    </row>
    <row r="312" ht="15.75" customHeight="1">
      <c r="A312" s="38"/>
      <c r="B312" s="35"/>
      <c r="C312" s="35"/>
      <c r="D312" s="35"/>
      <c r="E312" s="35"/>
      <c r="F312" s="35"/>
      <c r="G312" s="35"/>
      <c r="H312" s="35"/>
      <c r="I312" s="35"/>
      <c r="J312" s="35"/>
      <c r="K312" s="37">
        <f>SUM(K281:K310)</f>
        <v>0</v>
      </c>
      <c r="L312" s="35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  <c r="AA312" s="9"/>
      <c r="AB312" s="9"/>
    </row>
    <row r="313" ht="15.75" customHeight="1" collapsed="1">
      <c r="A313" s="1" t="s">
        <v>28</v>
      </c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  <c r="AA313" s="9"/>
      <c r="AB313" s="9"/>
    </row>
    <row r="314" ht="15.75" hidden="1" customHeight="1" outlineLevel="1">
      <c r="A314" s="14" t="s">
        <v>6</v>
      </c>
      <c r="B314" s="1" t="s">
        <v>7</v>
      </c>
      <c r="C314" s="1" t="s">
        <v>8</v>
      </c>
      <c r="D314" s="15" t="s">
        <v>9</v>
      </c>
      <c r="E314" s="15" t="s">
        <v>10</v>
      </c>
      <c r="F314" s="15" t="s">
        <v>11</v>
      </c>
      <c r="G314" s="16" t="s">
        <v>12</v>
      </c>
      <c r="H314" s="15" t="s">
        <v>13</v>
      </c>
      <c r="I314" s="1" t="s">
        <v>14</v>
      </c>
      <c r="J314" s="17" t="s">
        <v>15</v>
      </c>
      <c r="K314" s="1" t="s">
        <v>16</v>
      </c>
      <c r="L314" s="1" t="s">
        <v>17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  <c r="AA314" s="9"/>
      <c r="AB314" s="9"/>
    </row>
    <row r="315" ht="15.75" hidden="1" customHeight="1" outlineLevel="1">
      <c r="A315" s="14">
        <v>46661.0</v>
      </c>
      <c r="B315" s="17">
        <f t="shared" ref="B315:B345" si="76">ROUND(AVERAGE((H315/1000)/E315), 2)</f>
        <v>0</v>
      </c>
      <c r="C315" s="18">
        <v>0.1</v>
      </c>
      <c r="D315" s="19">
        <v>0.05</v>
      </c>
      <c r="E315" s="20">
        <v>3.0</v>
      </c>
      <c r="F315" s="21" t="str">
        <f t="shared" ref="F315:F345" si="77">H315/B315</f>
        <v>#DIV/0!</v>
      </c>
      <c r="G315" s="22">
        <f>L311*C315</f>
        <v>5</v>
      </c>
      <c r="H315" s="23">
        <f>L311*D315</f>
        <v>2.5</v>
      </c>
      <c r="I315" s="24" t="str">
        <f>(J315/B310)*100</f>
        <v>#DIV/0!</v>
      </c>
      <c r="J315" s="25"/>
      <c r="K315" s="26"/>
      <c r="L315" s="27">
        <f>(L311+J315)-K315</f>
        <v>50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  <c r="AA315" s="9"/>
      <c r="AB315" s="9"/>
    </row>
    <row r="316" ht="15.75" hidden="1" customHeight="1" outlineLevel="1">
      <c r="A316" s="14">
        <v>46662.0</v>
      </c>
      <c r="B316" s="17">
        <f t="shared" si="76"/>
        <v>0</v>
      </c>
      <c r="C316" s="18">
        <v>0.1</v>
      </c>
      <c r="D316" s="19">
        <v>0.05</v>
      </c>
      <c r="E316" s="20">
        <v>3.0</v>
      </c>
      <c r="F316" s="21" t="str">
        <f t="shared" si="77"/>
        <v>#DIV/0!</v>
      </c>
      <c r="G316" s="22">
        <f t="shared" ref="G316:G345" si="78">L315*C316</f>
        <v>5</v>
      </c>
      <c r="H316" s="23">
        <f t="shared" ref="H316:H345" si="79">L315*D316</f>
        <v>2.5</v>
      </c>
      <c r="I316" s="24">
        <f t="shared" ref="I316:I345" si="80">(J316/L315)*100</f>
        <v>0</v>
      </c>
      <c r="J316" s="25"/>
      <c r="K316" s="26"/>
      <c r="L316" s="27">
        <f t="shared" ref="L316:L345" si="81">(L315+J316)-K316</f>
        <v>50</v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  <c r="AA316" s="9"/>
      <c r="AB316" s="9"/>
    </row>
    <row r="317" ht="15.75" hidden="1" customHeight="1" outlineLevel="1">
      <c r="A317" s="14">
        <v>46663.0</v>
      </c>
      <c r="B317" s="17">
        <f t="shared" si="76"/>
        <v>0</v>
      </c>
      <c r="C317" s="18">
        <v>0.1</v>
      </c>
      <c r="D317" s="19">
        <v>0.05</v>
      </c>
      <c r="E317" s="20">
        <v>3.0</v>
      </c>
      <c r="F317" s="21" t="str">
        <f t="shared" si="77"/>
        <v>#DIV/0!</v>
      </c>
      <c r="G317" s="22">
        <f t="shared" si="78"/>
        <v>5</v>
      </c>
      <c r="H317" s="23">
        <f t="shared" si="79"/>
        <v>2.5</v>
      </c>
      <c r="I317" s="24">
        <f t="shared" si="80"/>
        <v>0</v>
      </c>
      <c r="J317" s="25"/>
      <c r="K317" s="26"/>
      <c r="L317" s="27">
        <f t="shared" si="81"/>
        <v>50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  <c r="AA317" s="9"/>
      <c r="AB317" s="9"/>
    </row>
    <row r="318" ht="15.75" hidden="1" customHeight="1" outlineLevel="1">
      <c r="A318" s="14">
        <v>46664.0</v>
      </c>
      <c r="B318" s="17">
        <f t="shared" si="76"/>
        <v>0</v>
      </c>
      <c r="C318" s="18">
        <v>0.1</v>
      </c>
      <c r="D318" s="19">
        <v>0.05</v>
      </c>
      <c r="E318" s="20">
        <v>3.0</v>
      </c>
      <c r="F318" s="21" t="str">
        <f t="shared" si="77"/>
        <v>#DIV/0!</v>
      </c>
      <c r="G318" s="22">
        <f t="shared" si="78"/>
        <v>5</v>
      </c>
      <c r="H318" s="23">
        <f t="shared" si="79"/>
        <v>2.5</v>
      </c>
      <c r="I318" s="24">
        <f t="shared" si="80"/>
        <v>0</v>
      </c>
      <c r="J318" s="25"/>
      <c r="K318" s="26"/>
      <c r="L318" s="27">
        <f t="shared" si="81"/>
        <v>50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  <c r="AA318" s="9"/>
      <c r="AB318" s="9"/>
    </row>
    <row r="319" ht="15.75" hidden="1" customHeight="1" outlineLevel="1">
      <c r="A319" s="14">
        <v>46665.0</v>
      </c>
      <c r="B319" s="17">
        <f t="shared" si="76"/>
        <v>0</v>
      </c>
      <c r="C319" s="18">
        <v>0.1</v>
      </c>
      <c r="D319" s="19">
        <v>0.05</v>
      </c>
      <c r="E319" s="20">
        <v>3.0</v>
      </c>
      <c r="F319" s="21" t="str">
        <f t="shared" si="77"/>
        <v>#DIV/0!</v>
      </c>
      <c r="G319" s="22">
        <f t="shared" si="78"/>
        <v>5</v>
      </c>
      <c r="H319" s="23">
        <f t="shared" si="79"/>
        <v>2.5</v>
      </c>
      <c r="I319" s="24">
        <f t="shared" si="80"/>
        <v>0</v>
      </c>
      <c r="J319" s="25"/>
      <c r="K319" s="26"/>
      <c r="L319" s="27">
        <f t="shared" si="81"/>
        <v>50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  <c r="AA319" s="9"/>
      <c r="AB319" s="9"/>
    </row>
    <row r="320" ht="15.75" hidden="1" customHeight="1" outlineLevel="1">
      <c r="A320" s="14">
        <v>46666.0</v>
      </c>
      <c r="B320" s="17">
        <f t="shared" si="76"/>
        <v>0</v>
      </c>
      <c r="C320" s="18">
        <v>0.1</v>
      </c>
      <c r="D320" s="19">
        <v>0.05</v>
      </c>
      <c r="E320" s="20">
        <v>3.0</v>
      </c>
      <c r="F320" s="21" t="str">
        <f t="shared" si="77"/>
        <v>#DIV/0!</v>
      </c>
      <c r="G320" s="22">
        <f t="shared" si="78"/>
        <v>5</v>
      </c>
      <c r="H320" s="23">
        <f t="shared" si="79"/>
        <v>2.5</v>
      </c>
      <c r="I320" s="24">
        <f t="shared" si="80"/>
        <v>0</v>
      </c>
      <c r="J320" s="25"/>
      <c r="K320" s="26"/>
      <c r="L320" s="27">
        <f t="shared" si="81"/>
        <v>50</v>
      </c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  <c r="AA320" s="9"/>
      <c r="AB320" s="9"/>
    </row>
    <row r="321" ht="15.75" hidden="1" customHeight="1" outlineLevel="1">
      <c r="A321" s="14">
        <v>46667.0</v>
      </c>
      <c r="B321" s="17">
        <f t="shared" si="76"/>
        <v>0</v>
      </c>
      <c r="C321" s="18">
        <v>0.1</v>
      </c>
      <c r="D321" s="19">
        <v>0.05</v>
      </c>
      <c r="E321" s="20">
        <v>3.0</v>
      </c>
      <c r="F321" s="21" t="str">
        <f t="shared" si="77"/>
        <v>#DIV/0!</v>
      </c>
      <c r="G321" s="22">
        <f t="shared" si="78"/>
        <v>5</v>
      </c>
      <c r="H321" s="23">
        <f t="shared" si="79"/>
        <v>2.5</v>
      </c>
      <c r="I321" s="24">
        <f t="shared" si="80"/>
        <v>0</v>
      </c>
      <c r="J321" s="25"/>
      <c r="K321" s="26"/>
      <c r="L321" s="27">
        <f t="shared" si="81"/>
        <v>50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  <c r="AA321" s="9"/>
      <c r="AB321" s="9"/>
    </row>
    <row r="322" ht="15.75" hidden="1" customHeight="1" outlineLevel="1">
      <c r="A322" s="14">
        <v>46668.0</v>
      </c>
      <c r="B322" s="17">
        <f t="shared" si="76"/>
        <v>0</v>
      </c>
      <c r="C322" s="18">
        <v>0.1</v>
      </c>
      <c r="D322" s="19">
        <v>0.05</v>
      </c>
      <c r="E322" s="20">
        <v>3.0</v>
      </c>
      <c r="F322" s="21" t="str">
        <f t="shared" si="77"/>
        <v>#DIV/0!</v>
      </c>
      <c r="G322" s="22">
        <f t="shared" si="78"/>
        <v>5</v>
      </c>
      <c r="H322" s="23">
        <f t="shared" si="79"/>
        <v>2.5</v>
      </c>
      <c r="I322" s="24">
        <f t="shared" si="80"/>
        <v>0</v>
      </c>
      <c r="J322" s="25"/>
      <c r="K322" s="26"/>
      <c r="L322" s="27">
        <f t="shared" si="81"/>
        <v>50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  <c r="AA322" s="9"/>
      <c r="AB322" s="9"/>
    </row>
    <row r="323" ht="15.75" hidden="1" customHeight="1" outlineLevel="1">
      <c r="A323" s="14">
        <v>46669.0</v>
      </c>
      <c r="B323" s="17">
        <f t="shared" si="76"/>
        <v>0</v>
      </c>
      <c r="C323" s="18">
        <v>0.1</v>
      </c>
      <c r="D323" s="19">
        <v>0.05</v>
      </c>
      <c r="E323" s="20">
        <v>3.0</v>
      </c>
      <c r="F323" s="21" t="str">
        <f t="shared" si="77"/>
        <v>#DIV/0!</v>
      </c>
      <c r="G323" s="22">
        <f t="shared" si="78"/>
        <v>5</v>
      </c>
      <c r="H323" s="23">
        <f t="shared" si="79"/>
        <v>2.5</v>
      </c>
      <c r="I323" s="24">
        <f t="shared" si="80"/>
        <v>0</v>
      </c>
      <c r="J323" s="25"/>
      <c r="K323" s="26"/>
      <c r="L323" s="27">
        <f t="shared" si="81"/>
        <v>50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  <c r="AA323" s="9"/>
      <c r="AB323" s="9"/>
    </row>
    <row r="324" ht="15.75" hidden="1" customHeight="1" outlineLevel="1">
      <c r="A324" s="14">
        <v>46670.0</v>
      </c>
      <c r="B324" s="17">
        <f t="shared" si="76"/>
        <v>0</v>
      </c>
      <c r="C324" s="18">
        <v>0.1</v>
      </c>
      <c r="D324" s="19">
        <v>0.05</v>
      </c>
      <c r="E324" s="20">
        <v>3.0</v>
      </c>
      <c r="F324" s="21" t="str">
        <f t="shared" si="77"/>
        <v>#DIV/0!</v>
      </c>
      <c r="G324" s="22">
        <f t="shared" si="78"/>
        <v>5</v>
      </c>
      <c r="H324" s="23">
        <f t="shared" si="79"/>
        <v>2.5</v>
      </c>
      <c r="I324" s="24">
        <f t="shared" si="80"/>
        <v>0</v>
      </c>
      <c r="J324" s="25"/>
      <c r="K324" s="26"/>
      <c r="L324" s="27">
        <f t="shared" si="81"/>
        <v>50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  <c r="AA324" s="9"/>
      <c r="AB324" s="9"/>
    </row>
    <row r="325" ht="15.75" hidden="1" customHeight="1" outlineLevel="1">
      <c r="A325" s="14">
        <v>46671.0</v>
      </c>
      <c r="B325" s="17">
        <f t="shared" si="76"/>
        <v>0</v>
      </c>
      <c r="C325" s="18">
        <v>0.1</v>
      </c>
      <c r="D325" s="19">
        <v>0.05</v>
      </c>
      <c r="E325" s="20">
        <v>3.0</v>
      </c>
      <c r="F325" s="21" t="str">
        <f t="shared" si="77"/>
        <v>#DIV/0!</v>
      </c>
      <c r="G325" s="22">
        <f t="shared" si="78"/>
        <v>5</v>
      </c>
      <c r="H325" s="23">
        <f t="shared" si="79"/>
        <v>2.5</v>
      </c>
      <c r="I325" s="24">
        <f t="shared" si="80"/>
        <v>0</v>
      </c>
      <c r="J325" s="25"/>
      <c r="K325" s="26"/>
      <c r="L325" s="27">
        <f t="shared" si="81"/>
        <v>50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  <c r="AA325" s="9"/>
      <c r="AB325" s="9"/>
    </row>
    <row r="326" ht="15.75" hidden="1" customHeight="1" outlineLevel="1">
      <c r="A326" s="14">
        <v>46672.0</v>
      </c>
      <c r="B326" s="17">
        <f t="shared" si="76"/>
        <v>0</v>
      </c>
      <c r="C326" s="18">
        <v>0.1</v>
      </c>
      <c r="D326" s="19">
        <v>0.05</v>
      </c>
      <c r="E326" s="20">
        <v>3.0</v>
      </c>
      <c r="F326" s="21" t="str">
        <f t="shared" si="77"/>
        <v>#DIV/0!</v>
      </c>
      <c r="G326" s="22">
        <f t="shared" si="78"/>
        <v>5</v>
      </c>
      <c r="H326" s="23">
        <f t="shared" si="79"/>
        <v>2.5</v>
      </c>
      <c r="I326" s="24">
        <f t="shared" si="80"/>
        <v>0</v>
      </c>
      <c r="J326" s="25"/>
      <c r="K326" s="26"/>
      <c r="L326" s="27">
        <f t="shared" si="81"/>
        <v>50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  <c r="AA326" s="9"/>
      <c r="AB326" s="9"/>
    </row>
    <row r="327" ht="15.75" hidden="1" customHeight="1" outlineLevel="1">
      <c r="A327" s="14">
        <v>46673.0</v>
      </c>
      <c r="B327" s="17">
        <f t="shared" si="76"/>
        <v>0</v>
      </c>
      <c r="C327" s="18">
        <v>0.1</v>
      </c>
      <c r="D327" s="19">
        <v>0.05</v>
      </c>
      <c r="E327" s="20">
        <v>3.0</v>
      </c>
      <c r="F327" s="21" t="str">
        <f t="shared" si="77"/>
        <v>#DIV/0!</v>
      </c>
      <c r="G327" s="22">
        <f t="shared" si="78"/>
        <v>5</v>
      </c>
      <c r="H327" s="23">
        <f t="shared" si="79"/>
        <v>2.5</v>
      </c>
      <c r="I327" s="24">
        <f t="shared" si="80"/>
        <v>0</v>
      </c>
      <c r="J327" s="25"/>
      <c r="K327" s="26"/>
      <c r="L327" s="27">
        <f t="shared" si="81"/>
        <v>50</v>
      </c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  <c r="AA327" s="9"/>
      <c r="AB327" s="9"/>
    </row>
    <row r="328" ht="15.75" hidden="1" customHeight="1" outlineLevel="1">
      <c r="A328" s="14">
        <v>46674.0</v>
      </c>
      <c r="B328" s="17">
        <f t="shared" si="76"/>
        <v>0</v>
      </c>
      <c r="C328" s="18">
        <v>0.1</v>
      </c>
      <c r="D328" s="19">
        <v>0.05</v>
      </c>
      <c r="E328" s="20">
        <v>3.0</v>
      </c>
      <c r="F328" s="21" t="str">
        <f t="shared" si="77"/>
        <v>#DIV/0!</v>
      </c>
      <c r="G328" s="22">
        <f t="shared" si="78"/>
        <v>5</v>
      </c>
      <c r="H328" s="23">
        <f t="shared" si="79"/>
        <v>2.5</v>
      </c>
      <c r="I328" s="24">
        <f t="shared" si="80"/>
        <v>0</v>
      </c>
      <c r="J328" s="25"/>
      <c r="K328" s="26"/>
      <c r="L328" s="27">
        <f t="shared" si="81"/>
        <v>50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  <c r="AA328" s="9"/>
      <c r="AB328" s="9"/>
    </row>
    <row r="329" ht="15.75" hidden="1" customHeight="1" outlineLevel="1">
      <c r="A329" s="14">
        <v>46675.0</v>
      </c>
      <c r="B329" s="17">
        <f t="shared" si="76"/>
        <v>0</v>
      </c>
      <c r="C329" s="18">
        <v>0.1</v>
      </c>
      <c r="D329" s="19">
        <v>0.05</v>
      </c>
      <c r="E329" s="20">
        <v>3.0</v>
      </c>
      <c r="F329" s="21" t="str">
        <f t="shared" si="77"/>
        <v>#DIV/0!</v>
      </c>
      <c r="G329" s="22">
        <f t="shared" si="78"/>
        <v>5</v>
      </c>
      <c r="H329" s="23">
        <f t="shared" si="79"/>
        <v>2.5</v>
      </c>
      <c r="I329" s="24">
        <f t="shared" si="80"/>
        <v>0</v>
      </c>
      <c r="J329" s="25"/>
      <c r="K329" s="26"/>
      <c r="L329" s="27">
        <f t="shared" si="81"/>
        <v>50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  <c r="AA329" s="9"/>
      <c r="AB329" s="9"/>
    </row>
    <row r="330" ht="15.75" hidden="1" customHeight="1" outlineLevel="1">
      <c r="A330" s="14">
        <v>46676.0</v>
      </c>
      <c r="B330" s="17">
        <f t="shared" si="76"/>
        <v>0</v>
      </c>
      <c r="C330" s="18">
        <v>0.1</v>
      </c>
      <c r="D330" s="19">
        <v>0.05</v>
      </c>
      <c r="E330" s="20">
        <v>3.0</v>
      </c>
      <c r="F330" s="21" t="str">
        <f t="shared" si="77"/>
        <v>#DIV/0!</v>
      </c>
      <c r="G330" s="22">
        <f t="shared" si="78"/>
        <v>5</v>
      </c>
      <c r="H330" s="23">
        <f t="shared" si="79"/>
        <v>2.5</v>
      </c>
      <c r="I330" s="24">
        <f t="shared" si="80"/>
        <v>0</v>
      </c>
      <c r="J330" s="25"/>
      <c r="K330" s="26"/>
      <c r="L330" s="27">
        <f t="shared" si="81"/>
        <v>50</v>
      </c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  <c r="AA330" s="9"/>
      <c r="AB330" s="9"/>
    </row>
    <row r="331" ht="15.75" hidden="1" customHeight="1" outlineLevel="1">
      <c r="A331" s="14">
        <v>46677.0</v>
      </c>
      <c r="B331" s="17">
        <f t="shared" si="76"/>
        <v>0</v>
      </c>
      <c r="C331" s="18">
        <v>0.1</v>
      </c>
      <c r="D331" s="19">
        <v>0.05</v>
      </c>
      <c r="E331" s="20">
        <v>3.0</v>
      </c>
      <c r="F331" s="21" t="str">
        <f t="shared" si="77"/>
        <v>#DIV/0!</v>
      </c>
      <c r="G331" s="22">
        <f t="shared" si="78"/>
        <v>5</v>
      </c>
      <c r="H331" s="23">
        <f t="shared" si="79"/>
        <v>2.5</v>
      </c>
      <c r="I331" s="24">
        <f t="shared" si="80"/>
        <v>0</v>
      </c>
      <c r="J331" s="25"/>
      <c r="K331" s="26"/>
      <c r="L331" s="27">
        <f t="shared" si="81"/>
        <v>50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  <c r="AA331" s="9"/>
      <c r="AB331" s="9"/>
    </row>
    <row r="332" ht="15.75" hidden="1" customHeight="1" outlineLevel="1">
      <c r="A332" s="14">
        <v>46678.0</v>
      </c>
      <c r="B332" s="17">
        <f t="shared" si="76"/>
        <v>0</v>
      </c>
      <c r="C332" s="18">
        <v>0.1</v>
      </c>
      <c r="D332" s="19">
        <v>0.05</v>
      </c>
      <c r="E332" s="20">
        <v>3.0</v>
      </c>
      <c r="F332" s="21" t="str">
        <f t="shared" si="77"/>
        <v>#DIV/0!</v>
      </c>
      <c r="G332" s="22">
        <f t="shared" si="78"/>
        <v>5</v>
      </c>
      <c r="H332" s="23">
        <f t="shared" si="79"/>
        <v>2.5</v>
      </c>
      <c r="I332" s="24">
        <f t="shared" si="80"/>
        <v>0</v>
      </c>
      <c r="J332" s="25"/>
      <c r="K332" s="26"/>
      <c r="L332" s="27">
        <f t="shared" si="81"/>
        <v>50</v>
      </c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  <c r="AA332" s="9"/>
      <c r="AB332" s="9"/>
    </row>
    <row r="333" ht="15.75" hidden="1" customHeight="1" outlineLevel="1">
      <c r="A333" s="14">
        <v>46679.0</v>
      </c>
      <c r="B333" s="17">
        <f t="shared" si="76"/>
        <v>0</v>
      </c>
      <c r="C333" s="18">
        <v>0.1</v>
      </c>
      <c r="D333" s="19">
        <v>0.05</v>
      </c>
      <c r="E333" s="20">
        <v>3.0</v>
      </c>
      <c r="F333" s="21" t="str">
        <f t="shared" si="77"/>
        <v>#DIV/0!</v>
      </c>
      <c r="G333" s="22">
        <f t="shared" si="78"/>
        <v>5</v>
      </c>
      <c r="H333" s="23">
        <f t="shared" si="79"/>
        <v>2.5</v>
      </c>
      <c r="I333" s="24">
        <f t="shared" si="80"/>
        <v>0</v>
      </c>
      <c r="J333" s="25"/>
      <c r="K333" s="26"/>
      <c r="L333" s="27">
        <f t="shared" si="81"/>
        <v>50</v>
      </c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  <c r="AA333" s="9"/>
      <c r="AB333" s="9"/>
    </row>
    <row r="334" ht="15.75" hidden="1" customHeight="1" outlineLevel="1">
      <c r="A334" s="14">
        <v>46680.0</v>
      </c>
      <c r="B334" s="17">
        <f t="shared" si="76"/>
        <v>0</v>
      </c>
      <c r="C334" s="18">
        <v>0.1</v>
      </c>
      <c r="D334" s="19">
        <v>0.05</v>
      </c>
      <c r="E334" s="20">
        <v>3.0</v>
      </c>
      <c r="F334" s="21" t="str">
        <f t="shared" si="77"/>
        <v>#DIV/0!</v>
      </c>
      <c r="G334" s="22">
        <f t="shared" si="78"/>
        <v>5</v>
      </c>
      <c r="H334" s="23">
        <f t="shared" si="79"/>
        <v>2.5</v>
      </c>
      <c r="I334" s="24">
        <f t="shared" si="80"/>
        <v>0</v>
      </c>
      <c r="J334" s="25"/>
      <c r="K334" s="26"/>
      <c r="L334" s="27">
        <f t="shared" si="81"/>
        <v>50</v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  <c r="AA334" s="9"/>
      <c r="AB334" s="9"/>
    </row>
    <row r="335" ht="15.75" hidden="1" customHeight="1" outlineLevel="1">
      <c r="A335" s="14">
        <v>46681.0</v>
      </c>
      <c r="B335" s="17">
        <f t="shared" si="76"/>
        <v>0</v>
      </c>
      <c r="C335" s="18">
        <v>0.1</v>
      </c>
      <c r="D335" s="19">
        <v>0.05</v>
      </c>
      <c r="E335" s="20">
        <v>3.0</v>
      </c>
      <c r="F335" s="21" t="str">
        <f t="shared" si="77"/>
        <v>#DIV/0!</v>
      </c>
      <c r="G335" s="22">
        <f t="shared" si="78"/>
        <v>5</v>
      </c>
      <c r="H335" s="23">
        <f t="shared" si="79"/>
        <v>2.5</v>
      </c>
      <c r="I335" s="24">
        <f t="shared" si="80"/>
        <v>0</v>
      </c>
      <c r="J335" s="25"/>
      <c r="K335" s="26"/>
      <c r="L335" s="27">
        <f t="shared" si="81"/>
        <v>50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  <c r="AA335" s="9"/>
      <c r="AB335" s="9"/>
    </row>
    <row r="336" ht="15.75" hidden="1" customHeight="1" outlineLevel="1">
      <c r="A336" s="14">
        <v>46682.0</v>
      </c>
      <c r="B336" s="17">
        <f t="shared" si="76"/>
        <v>0</v>
      </c>
      <c r="C336" s="18">
        <v>0.1</v>
      </c>
      <c r="D336" s="19">
        <v>0.05</v>
      </c>
      <c r="E336" s="20">
        <v>3.0</v>
      </c>
      <c r="F336" s="21" t="str">
        <f t="shared" si="77"/>
        <v>#DIV/0!</v>
      </c>
      <c r="G336" s="22">
        <f t="shared" si="78"/>
        <v>5</v>
      </c>
      <c r="H336" s="23">
        <f t="shared" si="79"/>
        <v>2.5</v>
      </c>
      <c r="I336" s="24">
        <f t="shared" si="80"/>
        <v>0</v>
      </c>
      <c r="J336" s="25"/>
      <c r="K336" s="26"/>
      <c r="L336" s="27">
        <f t="shared" si="81"/>
        <v>50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  <c r="AA336" s="9"/>
      <c r="AB336" s="9"/>
    </row>
    <row r="337" ht="15.75" hidden="1" customHeight="1" outlineLevel="1">
      <c r="A337" s="14">
        <v>46683.0</v>
      </c>
      <c r="B337" s="17">
        <f t="shared" si="76"/>
        <v>0</v>
      </c>
      <c r="C337" s="18">
        <v>0.1</v>
      </c>
      <c r="D337" s="19">
        <v>0.05</v>
      </c>
      <c r="E337" s="20">
        <v>3.0</v>
      </c>
      <c r="F337" s="21" t="str">
        <f t="shared" si="77"/>
        <v>#DIV/0!</v>
      </c>
      <c r="G337" s="22">
        <f t="shared" si="78"/>
        <v>5</v>
      </c>
      <c r="H337" s="23">
        <f t="shared" si="79"/>
        <v>2.5</v>
      </c>
      <c r="I337" s="24">
        <f t="shared" si="80"/>
        <v>0</v>
      </c>
      <c r="J337" s="25"/>
      <c r="K337" s="26"/>
      <c r="L337" s="27">
        <f t="shared" si="81"/>
        <v>50</v>
      </c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  <c r="AA337" s="9"/>
      <c r="AB337" s="9"/>
    </row>
    <row r="338" ht="15.75" hidden="1" customHeight="1" outlineLevel="1">
      <c r="A338" s="14">
        <v>46684.0</v>
      </c>
      <c r="B338" s="17">
        <f t="shared" si="76"/>
        <v>0</v>
      </c>
      <c r="C338" s="18">
        <v>0.1</v>
      </c>
      <c r="D338" s="19">
        <v>0.05</v>
      </c>
      <c r="E338" s="20">
        <v>3.0</v>
      </c>
      <c r="F338" s="21" t="str">
        <f t="shared" si="77"/>
        <v>#DIV/0!</v>
      </c>
      <c r="G338" s="22">
        <f t="shared" si="78"/>
        <v>5</v>
      </c>
      <c r="H338" s="23">
        <f t="shared" si="79"/>
        <v>2.5</v>
      </c>
      <c r="I338" s="24">
        <f t="shared" si="80"/>
        <v>0</v>
      </c>
      <c r="J338" s="25"/>
      <c r="K338" s="26"/>
      <c r="L338" s="27">
        <f t="shared" si="81"/>
        <v>50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  <c r="AA338" s="9"/>
      <c r="AB338" s="9"/>
    </row>
    <row r="339" ht="15.75" hidden="1" customHeight="1" outlineLevel="1">
      <c r="A339" s="14">
        <v>46685.0</v>
      </c>
      <c r="B339" s="17">
        <f t="shared" si="76"/>
        <v>0</v>
      </c>
      <c r="C339" s="18">
        <v>0.1</v>
      </c>
      <c r="D339" s="19">
        <v>0.05</v>
      </c>
      <c r="E339" s="20">
        <v>3.0</v>
      </c>
      <c r="F339" s="21" t="str">
        <f t="shared" si="77"/>
        <v>#DIV/0!</v>
      </c>
      <c r="G339" s="22">
        <f t="shared" si="78"/>
        <v>5</v>
      </c>
      <c r="H339" s="23">
        <f t="shared" si="79"/>
        <v>2.5</v>
      </c>
      <c r="I339" s="24">
        <f t="shared" si="80"/>
        <v>0</v>
      </c>
      <c r="J339" s="25"/>
      <c r="K339" s="26"/>
      <c r="L339" s="27">
        <f t="shared" si="81"/>
        <v>50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  <c r="AA339" s="9"/>
      <c r="AB339" s="9"/>
    </row>
    <row r="340" ht="15.75" hidden="1" customHeight="1" outlineLevel="1">
      <c r="A340" s="14">
        <v>46686.0</v>
      </c>
      <c r="B340" s="17">
        <f t="shared" si="76"/>
        <v>0</v>
      </c>
      <c r="C340" s="18">
        <v>0.1</v>
      </c>
      <c r="D340" s="19">
        <v>0.05</v>
      </c>
      <c r="E340" s="20">
        <v>3.0</v>
      </c>
      <c r="F340" s="21" t="str">
        <f t="shared" si="77"/>
        <v>#DIV/0!</v>
      </c>
      <c r="G340" s="22">
        <f t="shared" si="78"/>
        <v>5</v>
      </c>
      <c r="H340" s="23">
        <f t="shared" si="79"/>
        <v>2.5</v>
      </c>
      <c r="I340" s="24">
        <f t="shared" si="80"/>
        <v>0</v>
      </c>
      <c r="J340" s="25"/>
      <c r="K340" s="26"/>
      <c r="L340" s="27">
        <f t="shared" si="81"/>
        <v>50</v>
      </c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  <c r="AA340" s="9"/>
      <c r="AB340" s="9"/>
    </row>
    <row r="341" ht="15.75" hidden="1" customHeight="1" outlineLevel="1">
      <c r="A341" s="14">
        <v>46687.0</v>
      </c>
      <c r="B341" s="17">
        <f t="shared" si="76"/>
        <v>0</v>
      </c>
      <c r="C341" s="18">
        <v>0.1</v>
      </c>
      <c r="D341" s="19">
        <v>0.05</v>
      </c>
      <c r="E341" s="20">
        <v>3.0</v>
      </c>
      <c r="F341" s="21" t="str">
        <f t="shared" si="77"/>
        <v>#DIV/0!</v>
      </c>
      <c r="G341" s="22">
        <f t="shared" si="78"/>
        <v>5</v>
      </c>
      <c r="H341" s="23">
        <f t="shared" si="79"/>
        <v>2.5</v>
      </c>
      <c r="I341" s="24">
        <f t="shared" si="80"/>
        <v>0</v>
      </c>
      <c r="J341" s="25"/>
      <c r="K341" s="26"/>
      <c r="L341" s="27">
        <f t="shared" si="81"/>
        <v>50</v>
      </c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  <c r="AA341" s="9"/>
      <c r="AB341" s="9"/>
    </row>
    <row r="342" ht="15.75" hidden="1" customHeight="1" outlineLevel="1">
      <c r="A342" s="14">
        <v>46688.0</v>
      </c>
      <c r="B342" s="17">
        <f t="shared" si="76"/>
        <v>0</v>
      </c>
      <c r="C342" s="18">
        <v>0.1</v>
      </c>
      <c r="D342" s="19">
        <v>0.05</v>
      </c>
      <c r="E342" s="20">
        <v>3.0</v>
      </c>
      <c r="F342" s="21" t="str">
        <f t="shared" si="77"/>
        <v>#DIV/0!</v>
      </c>
      <c r="G342" s="22">
        <f t="shared" si="78"/>
        <v>5</v>
      </c>
      <c r="H342" s="23">
        <f t="shared" si="79"/>
        <v>2.5</v>
      </c>
      <c r="I342" s="24">
        <f t="shared" si="80"/>
        <v>0</v>
      </c>
      <c r="J342" s="25"/>
      <c r="K342" s="26"/>
      <c r="L342" s="27">
        <f t="shared" si="81"/>
        <v>50</v>
      </c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  <c r="AA342" s="9"/>
      <c r="AB342" s="9"/>
    </row>
    <row r="343" ht="15.75" hidden="1" customHeight="1" outlineLevel="1">
      <c r="A343" s="14">
        <v>46689.0</v>
      </c>
      <c r="B343" s="17">
        <f t="shared" si="76"/>
        <v>0</v>
      </c>
      <c r="C343" s="18">
        <v>0.1</v>
      </c>
      <c r="D343" s="19">
        <v>0.05</v>
      </c>
      <c r="E343" s="20">
        <v>3.0</v>
      </c>
      <c r="F343" s="21" t="str">
        <f t="shared" si="77"/>
        <v>#DIV/0!</v>
      </c>
      <c r="G343" s="22">
        <f t="shared" si="78"/>
        <v>5</v>
      </c>
      <c r="H343" s="23">
        <f t="shared" si="79"/>
        <v>2.5</v>
      </c>
      <c r="I343" s="24">
        <f t="shared" si="80"/>
        <v>0</v>
      </c>
      <c r="J343" s="25"/>
      <c r="K343" s="26"/>
      <c r="L343" s="27">
        <f t="shared" si="81"/>
        <v>50</v>
      </c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  <c r="AA343" s="9"/>
      <c r="AB343" s="9"/>
    </row>
    <row r="344" ht="15.75" hidden="1" customHeight="1" outlineLevel="1">
      <c r="A344" s="14">
        <v>46690.0</v>
      </c>
      <c r="B344" s="17">
        <f t="shared" si="76"/>
        <v>0</v>
      </c>
      <c r="C344" s="18">
        <v>0.1</v>
      </c>
      <c r="D344" s="19">
        <v>0.05</v>
      </c>
      <c r="E344" s="20">
        <v>3.0</v>
      </c>
      <c r="F344" s="21" t="str">
        <f t="shared" si="77"/>
        <v>#DIV/0!</v>
      </c>
      <c r="G344" s="22">
        <f t="shared" si="78"/>
        <v>5</v>
      </c>
      <c r="H344" s="23">
        <f t="shared" si="79"/>
        <v>2.5</v>
      </c>
      <c r="I344" s="24">
        <f t="shared" si="80"/>
        <v>0</v>
      </c>
      <c r="J344" s="25"/>
      <c r="K344" s="26"/>
      <c r="L344" s="27">
        <f t="shared" si="81"/>
        <v>50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  <c r="AA344" s="9"/>
      <c r="AB344" s="9"/>
    </row>
    <row r="345" ht="15.75" hidden="1" customHeight="1" outlineLevel="1">
      <c r="A345" s="14">
        <v>46691.0</v>
      </c>
      <c r="B345" s="17">
        <f t="shared" si="76"/>
        <v>0</v>
      </c>
      <c r="C345" s="18">
        <v>0.1</v>
      </c>
      <c r="D345" s="19">
        <v>0.05</v>
      </c>
      <c r="E345" s="20">
        <v>3.0</v>
      </c>
      <c r="F345" s="21" t="str">
        <f t="shared" si="77"/>
        <v>#DIV/0!</v>
      </c>
      <c r="G345" s="22">
        <f t="shared" si="78"/>
        <v>5</v>
      </c>
      <c r="H345" s="23">
        <f t="shared" si="79"/>
        <v>2.5</v>
      </c>
      <c r="I345" s="24">
        <f t="shared" si="80"/>
        <v>0</v>
      </c>
      <c r="J345" s="25"/>
      <c r="K345" s="26"/>
      <c r="L345" s="27">
        <f t="shared" si="81"/>
        <v>50</v>
      </c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  <c r="AA345" s="9"/>
      <c r="AB345" s="9"/>
    </row>
    <row r="346" ht="15.75" hidden="1" customHeight="1" outlineLevel="1">
      <c r="A346" s="28" t="s">
        <v>18</v>
      </c>
      <c r="C346" s="29">
        <f>SUM(C315:C345)</f>
        <v>3.1</v>
      </c>
      <c r="D346" s="30"/>
      <c r="E346" s="30"/>
      <c r="F346" s="30"/>
      <c r="G346" s="30"/>
      <c r="H346" s="30"/>
      <c r="I346" s="30" t="str">
        <f t="shared" ref="I346:K346" si="82">SUM(I315:I345)</f>
        <v>#DIV/0!</v>
      </c>
      <c r="J346" s="32">
        <f t="shared" si="82"/>
        <v>0</v>
      </c>
      <c r="K346" s="30">
        <f t="shared" si="82"/>
        <v>0</v>
      </c>
      <c r="L346" s="32">
        <f>L345</f>
        <v>50</v>
      </c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  <c r="AA346" s="9"/>
      <c r="AB346" s="9"/>
    </row>
    <row r="347" ht="15.75" customHeight="1">
      <c r="A347" s="38"/>
      <c r="B347" s="35"/>
      <c r="C347" s="35"/>
      <c r="D347" s="35"/>
      <c r="E347" s="35"/>
      <c r="F347" s="35"/>
      <c r="G347" s="35"/>
      <c r="H347" s="35"/>
      <c r="I347" s="35"/>
      <c r="J347" s="35"/>
      <c r="K347" s="37">
        <f>SUM(K315:K345)</f>
        <v>0</v>
      </c>
      <c r="L347" s="35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  <c r="AA347" s="9"/>
      <c r="AB347" s="9"/>
    </row>
    <row r="348" ht="15.75" customHeight="1" collapsed="1">
      <c r="A348" s="1" t="s">
        <v>29</v>
      </c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  <c r="AA348" s="9"/>
      <c r="AB348" s="9"/>
    </row>
    <row r="349" ht="15.75" hidden="1" customHeight="1" outlineLevel="1">
      <c r="A349" s="14" t="s">
        <v>6</v>
      </c>
      <c r="B349" s="1" t="s">
        <v>7</v>
      </c>
      <c r="C349" s="1" t="s">
        <v>8</v>
      </c>
      <c r="D349" s="15" t="s">
        <v>9</v>
      </c>
      <c r="E349" s="15" t="s">
        <v>10</v>
      </c>
      <c r="F349" s="15" t="s">
        <v>11</v>
      </c>
      <c r="G349" s="16" t="s">
        <v>12</v>
      </c>
      <c r="H349" s="15" t="s">
        <v>13</v>
      </c>
      <c r="I349" s="1" t="s">
        <v>14</v>
      </c>
      <c r="J349" s="17" t="s">
        <v>15</v>
      </c>
      <c r="K349" s="1" t="s">
        <v>16</v>
      </c>
      <c r="L349" s="1" t="s">
        <v>17</v>
      </c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  <c r="AA349" s="9"/>
      <c r="AB349" s="9"/>
    </row>
    <row r="350" ht="15.75" hidden="1" customHeight="1" outlineLevel="1">
      <c r="A350" s="14">
        <v>46692.0</v>
      </c>
      <c r="B350" s="17">
        <f t="shared" ref="B350:B379" si="83">ROUND(AVERAGE((H350/1000)/E350), 2)</f>
        <v>0</v>
      </c>
      <c r="C350" s="18">
        <v>0.1</v>
      </c>
      <c r="D350" s="19">
        <v>0.05</v>
      </c>
      <c r="E350" s="20">
        <v>3.0</v>
      </c>
      <c r="F350" s="21" t="str">
        <f t="shared" ref="F350:F379" si="84">H350/B350</f>
        <v>#DIV/0!</v>
      </c>
      <c r="G350" s="22">
        <f>L346*C350</f>
        <v>5</v>
      </c>
      <c r="H350" s="23">
        <f>L346*D350</f>
        <v>2.5</v>
      </c>
      <c r="I350" s="24" t="str">
        <f>(J350/B345)*100</f>
        <v>#DIV/0!</v>
      </c>
      <c r="J350" s="25"/>
      <c r="K350" s="26"/>
      <c r="L350" s="27">
        <f>(L346+J350)-K350</f>
        <v>50</v>
      </c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/>
      <c r="AA350" s="9"/>
      <c r="AB350" s="9"/>
    </row>
    <row r="351" ht="15.75" hidden="1" customHeight="1" outlineLevel="1">
      <c r="A351" s="14">
        <v>46693.0</v>
      </c>
      <c r="B351" s="17">
        <f t="shared" si="83"/>
        <v>0</v>
      </c>
      <c r="C351" s="18">
        <v>0.1</v>
      </c>
      <c r="D351" s="19">
        <v>0.05</v>
      </c>
      <c r="E351" s="20">
        <v>3.0</v>
      </c>
      <c r="F351" s="21" t="str">
        <f t="shared" si="84"/>
        <v>#DIV/0!</v>
      </c>
      <c r="G351" s="22">
        <f t="shared" ref="G351:G379" si="85">L350*C351</f>
        <v>5</v>
      </c>
      <c r="H351" s="23">
        <f t="shared" ref="H351:H379" si="86">L350*D351</f>
        <v>2.5</v>
      </c>
      <c r="I351" s="24">
        <f t="shared" ref="I351:I379" si="87">(J351/L350)*100</f>
        <v>0</v>
      </c>
      <c r="J351" s="25"/>
      <c r="K351" s="26"/>
      <c r="L351" s="27">
        <f t="shared" ref="L351:L379" si="88">(L350+J351)-K351</f>
        <v>50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  <c r="AA351" s="9"/>
      <c r="AB351" s="9"/>
    </row>
    <row r="352" ht="15.75" hidden="1" customHeight="1" outlineLevel="1">
      <c r="A352" s="14">
        <v>46694.0</v>
      </c>
      <c r="B352" s="17">
        <f t="shared" si="83"/>
        <v>0</v>
      </c>
      <c r="C352" s="18">
        <v>0.1</v>
      </c>
      <c r="D352" s="19">
        <v>0.05</v>
      </c>
      <c r="E352" s="20">
        <v>3.0</v>
      </c>
      <c r="F352" s="21" t="str">
        <f t="shared" si="84"/>
        <v>#DIV/0!</v>
      </c>
      <c r="G352" s="22">
        <f t="shared" si="85"/>
        <v>5</v>
      </c>
      <c r="H352" s="23">
        <f t="shared" si="86"/>
        <v>2.5</v>
      </c>
      <c r="I352" s="24">
        <f t="shared" si="87"/>
        <v>0</v>
      </c>
      <c r="J352" s="25"/>
      <c r="K352" s="26"/>
      <c r="L352" s="27">
        <f t="shared" si="88"/>
        <v>50</v>
      </c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  <c r="AA352" s="9"/>
      <c r="AB352" s="9"/>
    </row>
    <row r="353" ht="15.75" hidden="1" customHeight="1" outlineLevel="1">
      <c r="A353" s="14">
        <v>46695.0</v>
      </c>
      <c r="B353" s="17">
        <f t="shared" si="83"/>
        <v>0</v>
      </c>
      <c r="C353" s="18">
        <v>0.1</v>
      </c>
      <c r="D353" s="19">
        <v>0.05</v>
      </c>
      <c r="E353" s="20">
        <v>3.0</v>
      </c>
      <c r="F353" s="21" t="str">
        <f t="shared" si="84"/>
        <v>#DIV/0!</v>
      </c>
      <c r="G353" s="22">
        <f t="shared" si="85"/>
        <v>5</v>
      </c>
      <c r="H353" s="23">
        <f t="shared" si="86"/>
        <v>2.5</v>
      </c>
      <c r="I353" s="24">
        <f t="shared" si="87"/>
        <v>0</v>
      </c>
      <c r="J353" s="25"/>
      <c r="K353" s="26"/>
      <c r="L353" s="27">
        <f t="shared" si="88"/>
        <v>50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  <c r="AA353" s="9"/>
      <c r="AB353" s="9"/>
    </row>
    <row r="354" ht="15.75" hidden="1" customHeight="1" outlineLevel="1">
      <c r="A354" s="14">
        <v>46696.0</v>
      </c>
      <c r="B354" s="17">
        <f t="shared" si="83"/>
        <v>0</v>
      </c>
      <c r="C354" s="18">
        <v>0.1</v>
      </c>
      <c r="D354" s="19">
        <v>0.05</v>
      </c>
      <c r="E354" s="20">
        <v>3.0</v>
      </c>
      <c r="F354" s="21" t="str">
        <f t="shared" si="84"/>
        <v>#DIV/0!</v>
      </c>
      <c r="G354" s="22">
        <f t="shared" si="85"/>
        <v>5</v>
      </c>
      <c r="H354" s="23">
        <f t="shared" si="86"/>
        <v>2.5</v>
      </c>
      <c r="I354" s="24">
        <f t="shared" si="87"/>
        <v>0</v>
      </c>
      <c r="J354" s="25"/>
      <c r="K354" s="26"/>
      <c r="L354" s="27">
        <f t="shared" si="88"/>
        <v>50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  <c r="AA354" s="9"/>
      <c r="AB354" s="9"/>
    </row>
    <row r="355" ht="15.75" hidden="1" customHeight="1" outlineLevel="1">
      <c r="A355" s="14">
        <v>46697.0</v>
      </c>
      <c r="B355" s="17">
        <f t="shared" si="83"/>
        <v>0</v>
      </c>
      <c r="C355" s="18">
        <v>0.1</v>
      </c>
      <c r="D355" s="19">
        <v>0.05</v>
      </c>
      <c r="E355" s="20">
        <v>3.0</v>
      </c>
      <c r="F355" s="21" t="str">
        <f t="shared" si="84"/>
        <v>#DIV/0!</v>
      </c>
      <c r="G355" s="22">
        <f t="shared" si="85"/>
        <v>5</v>
      </c>
      <c r="H355" s="23">
        <f t="shared" si="86"/>
        <v>2.5</v>
      </c>
      <c r="I355" s="24">
        <f t="shared" si="87"/>
        <v>0</v>
      </c>
      <c r="J355" s="25"/>
      <c r="K355" s="26"/>
      <c r="L355" s="27">
        <f t="shared" si="88"/>
        <v>50</v>
      </c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/>
      <c r="AA355" s="9"/>
      <c r="AB355" s="9"/>
    </row>
    <row r="356" ht="15.75" hidden="1" customHeight="1" outlineLevel="1">
      <c r="A356" s="14">
        <v>46698.0</v>
      </c>
      <c r="B356" s="17">
        <f t="shared" si="83"/>
        <v>0</v>
      </c>
      <c r="C356" s="18">
        <v>0.1</v>
      </c>
      <c r="D356" s="19">
        <v>0.05</v>
      </c>
      <c r="E356" s="20">
        <v>3.0</v>
      </c>
      <c r="F356" s="21" t="str">
        <f t="shared" si="84"/>
        <v>#DIV/0!</v>
      </c>
      <c r="G356" s="22">
        <f t="shared" si="85"/>
        <v>5</v>
      </c>
      <c r="H356" s="23">
        <f t="shared" si="86"/>
        <v>2.5</v>
      </c>
      <c r="I356" s="24">
        <f t="shared" si="87"/>
        <v>0</v>
      </c>
      <c r="J356" s="25"/>
      <c r="K356" s="26"/>
      <c r="L356" s="27">
        <f t="shared" si="88"/>
        <v>50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  <c r="AA356" s="9"/>
      <c r="AB356" s="9"/>
    </row>
    <row r="357" ht="15.75" hidden="1" customHeight="1" outlineLevel="1">
      <c r="A357" s="14">
        <v>46699.0</v>
      </c>
      <c r="B357" s="17">
        <f t="shared" si="83"/>
        <v>0</v>
      </c>
      <c r="C357" s="18">
        <v>0.1</v>
      </c>
      <c r="D357" s="19">
        <v>0.05</v>
      </c>
      <c r="E357" s="20">
        <v>3.0</v>
      </c>
      <c r="F357" s="21" t="str">
        <f t="shared" si="84"/>
        <v>#DIV/0!</v>
      </c>
      <c r="G357" s="22">
        <f t="shared" si="85"/>
        <v>5</v>
      </c>
      <c r="H357" s="23">
        <f t="shared" si="86"/>
        <v>2.5</v>
      </c>
      <c r="I357" s="24">
        <f t="shared" si="87"/>
        <v>0</v>
      </c>
      <c r="J357" s="25"/>
      <c r="K357" s="26"/>
      <c r="L357" s="27">
        <f t="shared" si="88"/>
        <v>50</v>
      </c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  <c r="AA357" s="9"/>
      <c r="AB357" s="9"/>
    </row>
    <row r="358" ht="15.75" hidden="1" customHeight="1" outlineLevel="1">
      <c r="A358" s="14">
        <v>46700.0</v>
      </c>
      <c r="B358" s="17">
        <f t="shared" si="83"/>
        <v>0</v>
      </c>
      <c r="C358" s="18">
        <v>0.1</v>
      </c>
      <c r="D358" s="19">
        <v>0.05</v>
      </c>
      <c r="E358" s="20">
        <v>3.0</v>
      </c>
      <c r="F358" s="21" t="str">
        <f t="shared" si="84"/>
        <v>#DIV/0!</v>
      </c>
      <c r="G358" s="22">
        <f t="shared" si="85"/>
        <v>5</v>
      </c>
      <c r="H358" s="23">
        <f t="shared" si="86"/>
        <v>2.5</v>
      </c>
      <c r="I358" s="24">
        <f t="shared" si="87"/>
        <v>0</v>
      </c>
      <c r="J358" s="25"/>
      <c r="K358" s="26"/>
      <c r="L358" s="27">
        <f t="shared" si="88"/>
        <v>50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  <c r="AA358" s="9"/>
      <c r="AB358" s="9"/>
    </row>
    <row r="359" ht="15.75" hidden="1" customHeight="1" outlineLevel="1">
      <c r="A359" s="14">
        <v>46701.0</v>
      </c>
      <c r="B359" s="17">
        <f t="shared" si="83"/>
        <v>0</v>
      </c>
      <c r="C359" s="18">
        <v>0.1</v>
      </c>
      <c r="D359" s="19">
        <v>0.05</v>
      </c>
      <c r="E359" s="20">
        <v>3.0</v>
      </c>
      <c r="F359" s="21" t="str">
        <f t="shared" si="84"/>
        <v>#DIV/0!</v>
      </c>
      <c r="G359" s="22">
        <f t="shared" si="85"/>
        <v>5</v>
      </c>
      <c r="H359" s="23">
        <f t="shared" si="86"/>
        <v>2.5</v>
      </c>
      <c r="I359" s="24">
        <f t="shared" si="87"/>
        <v>0</v>
      </c>
      <c r="J359" s="25"/>
      <c r="K359" s="26"/>
      <c r="L359" s="27">
        <f t="shared" si="88"/>
        <v>50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  <c r="AA359" s="9"/>
      <c r="AB359" s="9"/>
    </row>
    <row r="360" ht="15.75" hidden="1" customHeight="1" outlineLevel="1">
      <c r="A360" s="14">
        <v>46702.0</v>
      </c>
      <c r="B360" s="17">
        <f t="shared" si="83"/>
        <v>0</v>
      </c>
      <c r="C360" s="18">
        <v>0.1</v>
      </c>
      <c r="D360" s="19">
        <v>0.05</v>
      </c>
      <c r="E360" s="20">
        <v>3.0</v>
      </c>
      <c r="F360" s="21" t="str">
        <f t="shared" si="84"/>
        <v>#DIV/0!</v>
      </c>
      <c r="G360" s="22">
        <f t="shared" si="85"/>
        <v>5</v>
      </c>
      <c r="H360" s="23">
        <f t="shared" si="86"/>
        <v>2.5</v>
      </c>
      <c r="I360" s="24">
        <f t="shared" si="87"/>
        <v>0</v>
      </c>
      <c r="J360" s="25"/>
      <c r="K360" s="26"/>
      <c r="L360" s="27">
        <f t="shared" si="88"/>
        <v>50</v>
      </c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9"/>
      <c r="AA360" s="9"/>
      <c r="AB360" s="9"/>
    </row>
    <row r="361" ht="15.75" hidden="1" customHeight="1" outlineLevel="1">
      <c r="A361" s="14">
        <v>46703.0</v>
      </c>
      <c r="B361" s="17">
        <f t="shared" si="83"/>
        <v>0</v>
      </c>
      <c r="C361" s="18">
        <v>0.1</v>
      </c>
      <c r="D361" s="19">
        <v>0.05</v>
      </c>
      <c r="E361" s="20">
        <v>3.0</v>
      </c>
      <c r="F361" s="21" t="str">
        <f t="shared" si="84"/>
        <v>#DIV/0!</v>
      </c>
      <c r="G361" s="22">
        <f t="shared" si="85"/>
        <v>5</v>
      </c>
      <c r="H361" s="23">
        <f t="shared" si="86"/>
        <v>2.5</v>
      </c>
      <c r="I361" s="24">
        <f t="shared" si="87"/>
        <v>0</v>
      </c>
      <c r="J361" s="25"/>
      <c r="K361" s="26"/>
      <c r="L361" s="27">
        <f t="shared" si="88"/>
        <v>50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  <c r="AA361" s="9"/>
      <c r="AB361" s="9"/>
    </row>
    <row r="362" ht="15.75" hidden="1" customHeight="1" outlineLevel="1">
      <c r="A362" s="14">
        <v>46704.0</v>
      </c>
      <c r="B362" s="17">
        <f t="shared" si="83"/>
        <v>0</v>
      </c>
      <c r="C362" s="18">
        <v>0.1</v>
      </c>
      <c r="D362" s="19">
        <v>0.05</v>
      </c>
      <c r="E362" s="20">
        <v>3.0</v>
      </c>
      <c r="F362" s="21" t="str">
        <f t="shared" si="84"/>
        <v>#DIV/0!</v>
      </c>
      <c r="G362" s="22">
        <f t="shared" si="85"/>
        <v>5</v>
      </c>
      <c r="H362" s="23">
        <f t="shared" si="86"/>
        <v>2.5</v>
      </c>
      <c r="I362" s="24">
        <f t="shared" si="87"/>
        <v>0</v>
      </c>
      <c r="J362" s="25"/>
      <c r="K362" s="26"/>
      <c r="L362" s="27">
        <f t="shared" si="88"/>
        <v>50</v>
      </c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  <c r="AA362" s="9"/>
      <c r="AB362" s="9"/>
    </row>
    <row r="363" ht="15.75" hidden="1" customHeight="1" outlineLevel="1">
      <c r="A363" s="14">
        <v>46705.0</v>
      </c>
      <c r="B363" s="17">
        <f t="shared" si="83"/>
        <v>0</v>
      </c>
      <c r="C363" s="18">
        <v>0.1</v>
      </c>
      <c r="D363" s="19">
        <v>0.05</v>
      </c>
      <c r="E363" s="20">
        <v>3.0</v>
      </c>
      <c r="F363" s="21" t="str">
        <f t="shared" si="84"/>
        <v>#DIV/0!</v>
      </c>
      <c r="G363" s="22">
        <f t="shared" si="85"/>
        <v>5</v>
      </c>
      <c r="H363" s="23">
        <f t="shared" si="86"/>
        <v>2.5</v>
      </c>
      <c r="I363" s="24">
        <f t="shared" si="87"/>
        <v>0</v>
      </c>
      <c r="J363" s="25"/>
      <c r="K363" s="26"/>
      <c r="L363" s="27">
        <f t="shared" si="88"/>
        <v>50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  <c r="AA363" s="9"/>
      <c r="AB363" s="9"/>
    </row>
    <row r="364" ht="15.75" hidden="1" customHeight="1" outlineLevel="1">
      <c r="A364" s="14">
        <v>46706.0</v>
      </c>
      <c r="B364" s="17">
        <f t="shared" si="83"/>
        <v>0</v>
      </c>
      <c r="C364" s="18">
        <v>0.1</v>
      </c>
      <c r="D364" s="19">
        <v>0.05</v>
      </c>
      <c r="E364" s="20">
        <v>3.0</v>
      </c>
      <c r="F364" s="21" t="str">
        <f t="shared" si="84"/>
        <v>#DIV/0!</v>
      </c>
      <c r="G364" s="22">
        <f t="shared" si="85"/>
        <v>5</v>
      </c>
      <c r="H364" s="23">
        <f t="shared" si="86"/>
        <v>2.5</v>
      </c>
      <c r="I364" s="24">
        <f t="shared" si="87"/>
        <v>0</v>
      </c>
      <c r="J364" s="25"/>
      <c r="K364" s="26"/>
      <c r="L364" s="27">
        <f t="shared" si="88"/>
        <v>50</v>
      </c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  <c r="AA364" s="9"/>
      <c r="AB364" s="9"/>
    </row>
    <row r="365" ht="15.75" hidden="1" customHeight="1" outlineLevel="1">
      <c r="A365" s="14">
        <v>46707.0</v>
      </c>
      <c r="B365" s="17">
        <f t="shared" si="83"/>
        <v>0</v>
      </c>
      <c r="C365" s="18">
        <v>0.1</v>
      </c>
      <c r="D365" s="19">
        <v>0.05</v>
      </c>
      <c r="E365" s="20">
        <v>3.0</v>
      </c>
      <c r="F365" s="21" t="str">
        <f t="shared" si="84"/>
        <v>#DIV/0!</v>
      </c>
      <c r="G365" s="22">
        <f t="shared" si="85"/>
        <v>5</v>
      </c>
      <c r="H365" s="23">
        <f t="shared" si="86"/>
        <v>2.5</v>
      </c>
      <c r="I365" s="24">
        <f t="shared" si="87"/>
        <v>0</v>
      </c>
      <c r="J365" s="25"/>
      <c r="K365" s="26"/>
      <c r="L365" s="27">
        <f t="shared" si="88"/>
        <v>50</v>
      </c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/>
      <c r="AA365" s="9"/>
      <c r="AB365" s="9"/>
    </row>
    <row r="366" ht="15.75" hidden="1" customHeight="1" outlineLevel="1">
      <c r="A366" s="14">
        <v>46708.0</v>
      </c>
      <c r="B366" s="17">
        <f t="shared" si="83"/>
        <v>0</v>
      </c>
      <c r="C366" s="18">
        <v>0.1</v>
      </c>
      <c r="D366" s="19">
        <v>0.05</v>
      </c>
      <c r="E366" s="20">
        <v>3.0</v>
      </c>
      <c r="F366" s="21" t="str">
        <f t="shared" si="84"/>
        <v>#DIV/0!</v>
      </c>
      <c r="G366" s="22">
        <f t="shared" si="85"/>
        <v>5</v>
      </c>
      <c r="H366" s="23">
        <f t="shared" si="86"/>
        <v>2.5</v>
      </c>
      <c r="I366" s="24">
        <f t="shared" si="87"/>
        <v>0</v>
      </c>
      <c r="J366" s="25"/>
      <c r="K366" s="26"/>
      <c r="L366" s="27">
        <f t="shared" si="88"/>
        <v>50</v>
      </c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  <c r="AA366" s="9"/>
      <c r="AB366" s="9"/>
    </row>
    <row r="367" ht="15.75" hidden="1" customHeight="1" outlineLevel="1">
      <c r="A367" s="14">
        <v>46709.0</v>
      </c>
      <c r="B367" s="17">
        <f t="shared" si="83"/>
        <v>0</v>
      </c>
      <c r="C367" s="18">
        <v>0.1</v>
      </c>
      <c r="D367" s="19">
        <v>0.05</v>
      </c>
      <c r="E367" s="20">
        <v>3.0</v>
      </c>
      <c r="F367" s="21" t="str">
        <f t="shared" si="84"/>
        <v>#DIV/0!</v>
      </c>
      <c r="G367" s="22">
        <f t="shared" si="85"/>
        <v>5</v>
      </c>
      <c r="H367" s="23">
        <f t="shared" si="86"/>
        <v>2.5</v>
      </c>
      <c r="I367" s="24">
        <f t="shared" si="87"/>
        <v>0</v>
      </c>
      <c r="J367" s="25"/>
      <c r="K367" s="26"/>
      <c r="L367" s="27">
        <f t="shared" si="88"/>
        <v>50</v>
      </c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  <c r="AA367" s="9"/>
      <c r="AB367" s="9"/>
    </row>
    <row r="368" ht="15.75" hidden="1" customHeight="1" outlineLevel="1">
      <c r="A368" s="14">
        <v>46710.0</v>
      </c>
      <c r="B368" s="17">
        <f t="shared" si="83"/>
        <v>0</v>
      </c>
      <c r="C368" s="18">
        <v>0.1</v>
      </c>
      <c r="D368" s="19">
        <v>0.05</v>
      </c>
      <c r="E368" s="20">
        <v>3.0</v>
      </c>
      <c r="F368" s="21" t="str">
        <f t="shared" si="84"/>
        <v>#DIV/0!</v>
      </c>
      <c r="G368" s="22">
        <f t="shared" si="85"/>
        <v>5</v>
      </c>
      <c r="H368" s="23">
        <f t="shared" si="86"/>
        <v>2.5</v>
      </c>
      <c r="I368" s="24">
        <f t="shared" si="87"/>
        <v>0</v>
      </c>
      <c r="J368" s="25"/>
      <c r="K368" s="26"/>
      <c r="L368" s="27">
        <f t="shared" si="88"/>
        <v>50</v>
      </c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  <c r="AA368" s="9"/>
      <c r="AB368" s="9"/>
    </row>
    <row r="369" ht="15.75" hidden="1" customHeight="1" outlineLevel="1">
      <c r="A369" s="14">
        <v>46711.0</v>
      </c>
      <c r="B369" s="17">
        <f t="shared" si="83"/>
        <v>0</v>
      </c>
      <c r="C369" s="18">
        <v>0.1</v>
      </c>
      <c r="D369" s="19">
        <v>0.05</v>
      </c>
      <c r="E369" s="20">
        <v>3.0</v>
      </c>
      <c r="F369" s="21" t="str">
        <f t="shared" si="84"/>
        <v>#DIV/0!</v>
      </c>
      <c r="G369" s="22">
        <f t="shared" si="85"/>
        <v>5</v>
      </c>
      <c r="H369" s="23">
        <f t="shared" si="86"/>
        <v>2.5</v>
      </c>
      <c r="I369" s="24">
        <f t="shared" si="87"/>
        <v>0</v>
      </c>
      <c r="J369" s="25"/>
      <c r="K369" s="26"/>
      <c r="L369" s="27">
        <f t="shared" si="88"/>
        <v>50</v>
      </c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  <c r="AA369" s="9"/>
      <c r="AB369" s="9"/>
    </row>
    <row r="370" ht="15.75" hidden="1" customHeight="1" outlineLevel="1">
      <c r="A370" s="14">
        <v>46712.0</v>
      </c>
      <c r="B370" s="17">
        <f t="shared" si="83"/>
        <v>0</v>
      </c>
      <c r="C370" s="18">
        <v>0.1</v>
      </c>
      <c r="D370" s="19">
        <v>0.05</v>
      </c>
      <c r="E370" s="20">
        <v>3.0</v>
      </c>
      <c r="F370" s="21" t="str">
        <f t="shared" si="84"/>
        <v>#DIV/0!</v>
      </c>
      <c r="G370" s="22">
        <f t="shared" si="85"/>
        <v>5</v>
      </c>
      <c r="H370" s="23">
        <f t="shared" si="86"/>
        <v>2.5</v>
      </c>
      <c r="I370" s="24">
        <f t="shared" si="87"/>
        <v>0</v>
      </c>
      <c r="J370" s="25"/>
      <c r="K370" s="26"/>
      <c r="L370" s="27">
        <f t="shared" si="88"/>
        <v>50</v>
      </c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9"/>
      <c r="AA370" s="9"/>
      <c r="AB370" s="9"/>
    </row>
    <row r="371" ht="15.75" hidden="1" customHeight="1" outlineLevel="1">
      <c r="A371" s="14">
        <v>46713.0</v>
      </c>
      <c r="B371" s="17">
        <f t="shared" si="83"/>
        <v>0</v>
      </c>
      <c r="C371" s="18">
        <v>0.1</v>
      </c>
      <c r="D371" s="19">
        <v>0.05</v>
      </c>
      <c r="E371" s="20">
        <v>3.0</v>
      </c>
      <c r="F371" s="21" t="str">
        <f t="shared" si="84"/>
        <v>#DIV/0!</v>
      </c>
      <c r="G371" s="22">
        <f t="shared" si="85"/>
        <v>5</v>
      </c>
      <c r="H371" s="23">
        <f t="shared" si="86"/>
        <v>2.5</v>
      </c>
      <c r="I371" s="24">
        <f t="shared" si="87"/>
        <v>0</v>
      </c>
      <c r="J371" s="25"/>
      <c r="K371" s="26"/>
      <c r="L371" s="27">
        <f t="shared" si="88"/>
        <v>50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  <c r="AA371" s="9"/>
      <c r="AB371" s="9"/>
    </row>
    <row r="372" ht="15.75" hidden="1" customHeight="1" outlineLevel="1">
      <c r="A372" s="14">
        <v>46714.0</v>
      </c>
      <c r="B372" s="17">
        <f t="shared" si="83"/>
        <v>0</v>
      </c>
      <c r="C372" s="18">
        <v>0.1</v>
      </c>
      <c r="D372" s="19">
        <v>0.05</v>
      </c>
      <c r="E372" s="20">
        <v>3.0</v>
      </c>
      <c r="F372" s="21" t="str">
        <f t="shared" si="84"/>
        <v>#DIV/0!</v>
      </c>
      <c r="G372" s="22">
        <f t="shared" si="85"/>
        <v>5</v>
      </c>
      <c r="H372" s="23">
        <f t="shared" si="86"/>
        <v>2.5</v>
      </c>
      <c r="I372" s="24">
        <f t="shared" si="87"/>
        <v>0</v>
      </c>
      <c r="J372" s="25"/>
      <c r="K372" s="26"/>
      <c r="L372" s="27">
        <f t="shared" si="88"/>
        <v>50</v>
      </c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  <c r="AA372" s="9"/>
      <c r="AB372" s="9"/>
    </row>
    <row r="373" ht="15.75" hidden="1" customHeight="1" outlineLevel="1">
      <c r="A373" s="14">
        <v>46715.0</v>
      </c>
      <c r="B373" s="17">
        <f t="shared" si="83"/>
        <v>0</v>
      </c>
      <c r="C373" s="18">
        <v>0.1</v>
      </c>
      <c r="D373" s="19">
        <v>0.05</v>
      </c>
      <c r="E373" s="20">
        <v>3.0</v>
      </c>
      <c r="F373" s="21" t="str">
        <f t="shared" si="84"/>
        <v>#DIV/0!</v>
      </c>
      <c r="G373" s="22">
        <f t="shared" si="85"/>
        <v>5</v>
      </c>
      <c r="H373" s="23">
        <f t="shared" si="86"/>
        <v>2.5</v>
      </c>
      <c r="I373" s="24">
        <f t="shared" si="87"/>
        <v>0</v>
      </c>
      <c r="J373" s="25"/>
      <c r="K373" s="26"/>
      <c r="L373" s="27">
        <f t="shared" si="88"/>
        <v>50</v>
      </c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  <c r="AA373" s="9"/>
      <c r="AB373" s="9"/>
    </row>
    <row r="374" ht="15.75" hidden="1" customHeight="1" outlineLevel="1">
      <c r="A374" s="14">
        <v>46716.0</v>
      </c>
      <c r="B374" s="17">
        <f t="shared" si="83"/>
        <v>0</v>
      </c>
      <c r="C374" s="18">
        <v>0.1</v>
      </c>
      <c r="D374" s="19">
        <v>0.05</v>
      </c>
      <c r="E374" s="20">
        <v>3.0</v>
      </c>
      <c r="F374" s="21" t="str">
        <f t="shared" si="84"/>
        <v>#DIV/0!</v>
      </c>
      <c r="G374" s="22">
        <f t="shared" si="85"/>
        <v>5</v>
      </c>
      <c r="H374" s="23">
        <f t="shared" si="86"/>
        <v>2.5</v>
      </c>
      <c r="I374" s="24">
        <f t="shared" si="87"/>
        <v>0</v>
      </c>
      <c r="J374" s="25"/>
      <c r="K374" s="26"/>
      <c r="L374" s="27">
        <f t="shared" si="88"/>
        <v>50</v>
      </c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  <c r="AA374" s="9"/>
      <c r="AB374" s="9"/>
    </row>
    <row r="375" ht="15.75" hidden="1" customHeight="1" outlineLevel="1">
      <c r="A375" s="14">
        <v>46717.0</v>
      </c>
      <c r="B375" s="17">
        <f t="shared" si="83"/>
        <v>0</v>
      </c>
      <c r="C375" s="18">
        <v>0.1</v>
      </c>
      <c r="D375" s="19">
        <v>0.05</v>
      </c>
      <c r="E375" s="20">
        <v>3.0</v>
      </c>
      <c r="F375" s="21" t="str">
        <f t="shared" si="84"/>
        <v>#DIV/0!</v>
      </c>
      <c r="G375" s="22">
        <f t="shared" si="85"/>
        <v>5</v>
      </c>
      <c r="H375" s="23">
        <f t="shared" si="86"/>
        <v>2.5</v>
      </c>
      <c r="I375" s="24">
        <f t="shared" si="87"/>
        <v>0</v>
      </c>
      <c r="J375" s="25"/>
      <c r="K375" s="26"/>
      <c r="L375" s="27">
        <f t="shared" si="88"/>
        <v>50</v>
      </c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/>
      <c r="AA375" s="9"/>
      <c r="AB375" s="9"/>
    </row>
    <row r="376" ht="15.75" hidden="1" customHeight="1" outlineLevel="1">
      <c r="A376" s="14">
        <v>46718.0</v>
      </c>
      <c r="B376" s="17">
        <f t="shared" si="83"/>
        <v>0</v>
      </c>
      <c r="C376" s="18">
        <v>0.1</v>
      </c>
      <c r="D376" s="19">
        <v>0.05</v>
      </c>
      <c r="E376" s="20">
        <v>3.0</v>
      </c>
      <c r="F376" s="21" t="str">
        <f t="shared" si="84"/>
        <v>#DIV/0!</v>
      </c>
      <c r="G376" s="22">
        <f t="shared" si="85"/>
        <v>5</v>
      </c>
      <c r="H376" s="23">
        <f t="shared" si="86"/>
        <v>2.5</v>
      </c>
      <c r="I376" s="24">
        <f t="shared" si="87"/>
        <v>0</v>
      </c>
      <c r="J376" s="25"/>
      <c r="K376" s="26"/>
      <c r="L376" s="27">
        <f t="shared" si="88"/>
        <v>50</v>
      </c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  <c r="AA376" s="9"/>
      <c r="AB376" s="9"/>
    </row>
    <row r="377" ht="15.75" hidden="1" customHeight="1" outlineLevel="1">
      <c r="A377" s="14">
        <v>46719.0</v>
      </c>
      <c r="B377" s="17">
        <f t="shared" si="83"/>
        <v>0</v>
      </c>
      <c r="C377" s="18">
        <v>0.1</v>
      </c>
      <c r="D377" s="19">
        <v>0.05</v>
      </c>
      <c r="E377" s="20">
        <v>3.0</v>
      </c>
      <c r="F377" s="21" t="str">
        <f t="shared" si="84"/>
        <v>#DIV/0!</v>
      </c>
      <c r="G377" s="22">
        <f t="shared" si="85"/>
        <v>5</v>
      </c>
      <c r="H377" s="23">
        <f t="shared" si="86"/>
        <v>2.5</v>
      </c>
      <c r="I377" s="24">
        <f t="shared" si="87"/>
        <v>0</v>
      </c>
      <c r="J377" s="25"/>
      <c r="K377" s="26"/>
      <c r="L377" s="27">
        <f t="shared" si="88"/>
        <v>50</v>
      </c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/>
      <c r="AA377" s="9"/>
      <c r="AB377" s="9"/>
    </row>
    <row r="378" ht="15.75" hidden="1" customHeight="1" outlineLevel="1">
      <c r="A378" s="14">
        <v>46720.0</v>
      </c>
      <c r="B378" s="17">
        <f t="shared" si="83"/>
        <v>0</v>
      </c>
      <c r="C378" s="18">
        <v>0.1</v>
      </c>
      <c r="D378" s="19">
        <v>0.05</v>
      </c>
      <c r="E378" s="20">
        <v>3.0</v>
      </c>
      <c r="F378" s="21" t="str">
        <f t="shared" si="84"/>
        <v>#DIV/0!</v>
      </c>
      <c r="G378" s="22">
        <f t="shared" si="85"/>
        <v>5</v>
      </c>
      <c r="H378" s="23">
        <f t="shared" si="86"/>
        <v>2.5</v>
      </c>
      <c r="I378" s="24">
        <f t="shared" si="87"/>
        <v>0</v>
      </c>
      <c r="J378" s="25"/>
      <c r="K378" s="26"/>
      <c r="L378" s="27">
        <f t="shared" si="88"/>
        <v>50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  <c r="AA378" s="9"/>
      <c r="AB378" s="9"/>
    </row>
    <row r="379" ht="15.75" hidden="1" customHeight="1" outlineLevel="1">
      <c r="A379" s="14">
        <v>46721.0</v>
      </c>
      <c r="B379" s="17">
        <f t="shared" si="83"/>
        <v>0</v>
      </c>
      <c r="C379" s="18">
        <v>0.1</v>
      </c>
      <c r="D379" s="19">
        <v>0.05</v>
      </c>
      <c r="E379" s="20">
        <v>3.0</v>
      </c>
      <c r="F379" s="21" t="str">
        <f t="shared" si="84"/>
        <v>#DIV/0!</v>
      </c>
      <c r="G379" s="22">
        <f t="shared" si="85"/>
        <v>5</v>
      </c>
      <c r="H379" s="23">
        <f t="shared" si="86"/>
        <v>2.5</v>
      </c>
      <c r="I379" s="24">
        <f t="shared" si="87"/>
        <v>0</v>
      </c>
      <c r="J379" s="25"/>
      <c r="K379" s="26"/>
      <c r="L379" s="27">
        <f t="shared" si="88"/>
        <v>50</v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  <c r="AA379" s="9"/>
      <c r="AB379" s="9"/>
    </row>
    <row r="380" ht="15.75" hidden="1" customHeight="1" outlineLevel="1">
      <c r="A380" s="28" t="s">
        <v>18</v>
      </c>
      <c r="C380" s="29">
        <f>SUM(C350:C379)</f>
        <v>3</v>
      </c>
      <c r="D380" s="30"/>
      <c r="E380" s="30"/>
      <c r="F380" s="30"/>
      <c r="G380" s="30"/>
      <c r="H380" s="30"/>
      <c r="I380" s="30" t="str">
        <f t="shared" ref="I380:K380" si="89">SUM(I350:I379)</f>
        <v>#DIV/0!</v>
      </c>
      <c r="J380" s="32">
        <f t="shared" si="89"/>
        <v>0</v>
      </c>
      <c r="K380" s="30">
        <f t="shared" si="89"/>
        <v>0</v>
      </c>
      <c r="L380" s="32">
        <f>L379</f>
        <v>50</v>
      </c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/>
      <c r="AA380" s="9"/>
      <c r="AB380" s="9"/>
    </row>
    <row r="381" ht="15.75" customHeight="1">
      <c r="A381" s="38"/>
      <c r="B381" s="35"/>
      <c r="C381" s="35"/>
      <c r="D381" s="35"/>
      <c r="E381" s="35"/>
      <c r="F381" s="35"/>
      <c r="G381" s="35"/>
      <c r="H381" s="35"/>
      <c r="I381" s="35"/>
      <c r="J381" s="35"/>
      <c r="K381" s="37">
        <f>SUM(K350:K379)</f>
        <v>0</v>
      </c>
      <c r="L381" s="35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  <c r="AA381" s="9"/>
      <c r="AB381" s="9"/>
    </row>
    <row r="382" ht="15.75" customHeight="1" collapsed="1">
      <c r="A382" s="1" t="s">
        <v>30</v>
      </c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/>
      <c r="AA382" s="9"/>
      <c r="AB382" s="9"/>
    </row>
    <row r="383" ht="15.75" hidden="1" customHeight="1" outlineLevel="1">
      <c r="A383" s="14" t="s">
        <v>6</v>
      </c>
      <c r="B383" s="1" t="s">
        <v>7</v>
      </c>
      <c r="C383" s="1" t="s">
        <v>8</v>
      </c>
      <c r="D383" s="15" t="s">
        <v>9</v>
      </c>
      <c r="E383" s="15" t="s">
        <v>10</v>
      </c>
      <c r="F383" s="15" t="s">
        <v>11</v>
      </c>
      <c r="G383" s="16" t="s">
        <v>12</v>
      </c>
      <c r="H383" s="15" t="s">
        <v>13</v>
      </c>
      <c r="I383" s="1" t="s">
        <v>14</v>
      </c>
      <c r="J383" s="17" t="s">
        <v>15</v>
      </c>
      <c r="K383" s="1" t="s">
        <v>16</v>
      </c>
      <c r="L383" s="1" t="s">
        <v>17</v>
      </c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  <c r="AA383" s="9"/>
      <c r="AB383" s="9"/>
    </row>
    <row r="384" ht="15.75" hidden="1" customHeight="1" outlineLevel="1">
      <c r="A384" s="14">
        <v>46722.0</v>
      </c>
      <c r="B384" s="17">
        <f t="shared" ref="B384:B414" si="90">ROUND(AVERAGE((H384/1000)/E384), 2)</f>
        <v>0</v>
      </c>
      <c r="C384" s="18">
        <v>0.1</v>
      </c>
      <c r="D384" s="19">
        <v>0.05</v>
      </c>
      <c r="E384" s="20">
        <v>3.0</v>
      </c>
      <c r="F384" s="21" t="str">
        <f t="shared" ref="F384:F414" si="91">H384/B384</f>
        <v>#DIV/0!</v>
      </c>
      <c r="G384" s="22">
        <f>L380*C384</f>
        <v>5</v>
      </c>
      <c r="H384" s="23">
        <f>L380*D384</f>
        <v>2.5</v>
      </c>
      <c r="I384" s="24" t="str">
        <f>(J384/B379)*100</f>
        <v>#DIV/0!</v>
      </c>
      <c r="J384" s="25"/>
      <c r="K384" s="26"/>
      <c r="L384" s="27">
        <f>(L380+J384)-K384</f>
        <v>50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  <c r="AA384" s="9"/>
      <c r="AB384" s="9"/>
    </row>
    <row r="385" ht="15.75" hidden="1" customHeight="1" outlineLevel="1">
      <c r="A385" s="14">
        <v>46723.0</v>
      </c>
      <c r="B385" s="17">
        <f t="shared" si="90"/>
        <v>0</v>
      </c>
      <c r="C385" s="18">
        <v>0.1</v>
      </c>
      <c r="D385" s="19">
        <v>0.05</v>
      </c>
      <c r="E385" s="20">
        <v>3.0</v>
      </c>
      <c r="F385" s="21" t="str">
        <f t="shared" si="91"/>
        <v>#DIV/0!</v>
      </c>
      <c r="G385" s="22">
        <f t="shared" ref="G385:G414" si="92">L384*C385</f>
        <v>5</v>
      </c>
      <c r="H385" s="23">
        <f t="shared" ref="H385:H414" si="93">L384*D385</f>
        <v>2.5</v>
      </c>
      <c r="I385" s="24">
        <f t="shared" ref="I385:I414" si="94">(J385/L384)*100</f>
        <v>0</v>
      </c>
      <c r="J385" s="25"/>
      <c r="K385" s="26"/>
      <c r="L385" s="27">
        <f t="shared" ref="L385:L414" si="95">(L384+J385)-K385</f>
        <v>50</v>
      </c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9"/>
      <c r="AA385" s="9"/>
      <c r="AB385" s="9"/>
    </row>
    <row r="386" ht="15.75" hidden="1" customHeight="1" outlineLevel="1">
      <c r="A386" s="14">
        <v>46724.0</v>
      </c>
      <c r="B386" s="17">
        <f t="shared" si="90"/>
        <v>0</v>
      </c>
      <c r="C386" s="18">
        <v>0.1</v>
      </c>
      <c r="D386" s="19">
        <v>0.05</v>
      </c>
      <c r="E386" s="20">
        <v>3.0</v>
      </c>
      <c r="F386" s="21" t="str">
        <f t="shared" si="91"/>
        <v>#DIV/0!</v>
      </c>
      <c r="G386" s="22">
        <f t="shared" si="92"/>
        <v>5</v>
      </c>
      <c r="H386" s="23">
        <f t="shared" si="93"/>
        <v>2.5</v>
      </c>
      <c r="I386" s="24">
        <f t="shared" si="94"/>
        <v>0</v>
      </c>
      <c r="J386" s="25"/>
      <c r="K386" s="26"/>
      <c r="L386" s="27">
        <f t="shared" si="95"/>
        <v>50</v>
      </c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  <c r="AA386" s="9"/>
      <c r="AB386" s="9"/>
    </row>
    <row r="387" ht="15.75" hidden="1" customHeight="1" outlineLevel="1">
      <c r="A387" s="14">
        <v>46725.0</v>
      </c>
      <c r="B387" s="17">
        <f t="shared" si="90"/>
        <v>0</v>
      </c>
      <c r="C387" s="18">
        <v>0.1</v>
      </c>
      <c r="D387" s="19">
        <v>0.05</v>
      </c>
      <c r="E387" s="20">
        <v>3.0</v>
      </c>
      <c r="F387" s="21" t="str">
        <f t="shared" si="91"/>
        <v>#DIV/0!</v>
      </c>
      <c r="G387" s="22">
        <f t="shared" si="92"/>
        <v>5</v>
      </c>
      <c r="H387" s="23">
        <f t="shared" si="93"/>
        <v>2.5</v>
      </c>
      <c r="I387" s="24">
        <f t="shared" si="94"/>
        <v>0</v>
      </c>
      <c r="J387" s="25"/>
      <c r="K387" s="26"/>
      <c r="L387" s="27">
        <f t="shared" si="95"/>
        <v>50</v>
      </c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  <c r="AA387" s="9"/>
      <c r="AB387" s="9"/>
    </row>
    <row r="388" ht="15.75" hidden="1" customHeight="1" outlineLevel="1">
      <c r="A388" s="14">
        <v>46726.0</v>
      </c>
      <c r="B388" s="17">
        <f t="shared" si="90"/>
        <v>0</v>
      </c>
      <c r="C388" s="18">
        <v>0.1</v>
      </c>
      <c r="D388" s="19">
        <v>0.05</v>
      </c>
      <c r="E388" s="20">
        <v>3.0</v>
      </c>
      <c r="F388" s="21" t="str">
        <f t="shared" si="91"/>
        <v>#DIV/0!</v>
      </c>
      <c r="G388" s="22">
        <f t="shared" si="92"/>
        <v>5</v>
      </c>
      <c r="H388" s="23">
        <f t="shared" si="93"/>
        <v>2.5</v>
      </c>
      <c r="I388" s="24">
        <f t="shared" si="94"/>
        <v>0</v>
      </c>
      <c r="J388" s="25"/>
      <c r="K388" s="26"/>
      <c r="L388" s="27">
        <f t="shared" si="95"/>
        <v>50</v>
      </c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  <c r="AA388" s="9"/>
      <c r="AB388" s="9"/>
    </row>
    <row r="389" ht="15.75" hidden="1" customHeight="1" outlineLevel="1">
      <c r="A389" s="14">
        <v>46727.0</v>
      </c>
      <c r="B389" s="17">
        <f t="shared" si="90"/>
        <v>0</v>
      </c>
      <c r="C389" s="18">
        <v>0.1</v>
      </c>
      <c r="D389" s="19">
        <v>0.05</v>
      </c>
      <c r="E389" s="20">
        <v>3.0</v>
      </c>
      <c r="F389" s="21" t="str">
        <f t="shared" si="91"/>
        <v>#DIV/0!</v>
      </c>
      <c r="G389" s="22">
        <f t="shared" si="92"/>
        <v>5</v>
      </c>
      <c r="H389" s="23">
        <f t="shared" si="93"/>
        <v>2.5</v>
      </c>
      <c r="I389" s="24">
        <f t="shared" si="94"/>
        <v>0</v>
      </c>
      <c r="J389" s="25"/>
      <c r="K389" s="26"/>
      <c r="L389" s="27">
        <f t="shared" si="95"/>
        <v>50</v>
      </c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  <c r="AA389" s="9"/>
      <c r="AB389" s="9"/>
    </row>
    <row r="390" ht="15.75" hidden="1" customHeight="1" outlineLevel="1">
      <c r="A390" s="14">
        <v>46728.0</v>
      </c>
      <c r="B390" s="17">
        <f t="shared" si="90"/>
        <v>0</v>
      </c>
      <c r="C390" s="18">
        <v>0.1</v>
      </c>
      <c r="D390" s="19">
        <v>0.05</v>
      </c>
      <c r="E390" s="20">
        <v>3.0</v>
      </c>
      <c r="F390" s="21" t="str">
        <f t="shared" si="91"/>
        <v>#DIV/0!</v>
      </c>
      <c r="G390" s="22">
        <f t="shared" si="92"/>
        <v>5</v>
      </c>
      <c r="H390" s="23">
        <f t="shared" si="93"/>
        <v>2.5</v>
      </c>
      <c r="I390" s="24">
        <f t="shared" si="94"/>
        <v>0</v>
      </c>
      <c r="J390" s="25"/>
      <c r="K390" s="26"/>
      <c r="L390" s="27">
        <f t="shared" si="95"/>
        <v>50</v>
      </c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9"/>
      <c r="AA390" s="9"/>
      <c r="AB390" s="9"/>
    </row>
    <row r="391" ht="15.75" hidden="1" customHeight="1" outlineLevel="1">
      <c r="A391" s="14">
        <v>46729.0</v>
      </c>
      <c r="B391" s="17">
        <f t="shared" si="90"/>
        <v>0</v>
      </c>
      <c r="C391" s="18">
        <v>0.1</v>
      </c>
      <c r="D391" s="19">
        <v>0.05</v>
      </c>
      <c r="E391" s="20">
        <v>3.0</v>
      </c>
      <c r="F391" s="21" t="str">
        <f t="shared" si="91"/>
        <v>#DIV/0!</v>
      </c>
      <c r="G391" s="22">
        <f t="shared" si="92"/>
        <v>5</v>
      </c>
      <c r="H391" s="23">
        <f t="shared" si="93"/>
        <v>2.5</v>
      </c>
      <c r="I391" s="24">
        <f t="shared" si="94"/>
        <v>0</v>
      </c>
      <c r="J391" s="25"/>
      <c r="K391" s="26"/>
      <c r="L391" s="27">
        <f t="shared" si="95"/>
        <v>50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  <c r="AA391" s="9"/>
      <c r="AB391" s="9"/>
    </row>
    <row r="392" ht="15.75" hidden="1" customHeight="1" outlineLevel="1">
      <c r="A392" s="14">
        <v>46730.0</v>
      </c>
      <c r="B392" s="17">
        <f t="shared" si="90"/>
        <v>0</v>
      </c>
      <c r="C392" s="18">
        <v>0.1</v>
      </c>
      <c r="D392" s="19">
        <v>0.05</v>
      </c>
      <c r="E392" s="20">
        <v>3.0</v>
      </c>
      <c r="F392" s="21" t="str">
        <f t="shared" si="91"/>
        <v>#DIV/0!</v>
      </c>
      <c r="G392" s="22">
        <f t="shared" si="92"/>
        <v>5</v>
      </c>
      <c r="H392" s="23">
        <f t="shared" si="93"/>
        <v>2.5</v>
      </c>
      <c r="I392" s="24">
        <f t="shared" si="94"/>
        <v>0</v>
      </c>
      <c r="J392" s="25"/>
      <c r="K392" s="26"/>
      <c r="L392" s="27">
        <f t="shared" si="95"/>
        <v>50</v>
      </c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/>
      <c r="AA392" s="9"/>
      <c r="AB392" s="9"/>
    </row>
    <row r="393" ht="15.75" hidden="1" customHeight="1" outlineLevel="1">
      <c r="A393" s="14">
        <v>46731.0</v>
      </c>
      <c r="B393" s="17">
        <f t="shared" si="90"/>
        <v>0</v>
      </c>
      <c r="C393" s="18">
        <v>0.1</v>
      </c>
      <c r="D393" s="19">
        <v>0.05</v>
      </c>
      <c r="E393" s="20">
        <v>3.0</v>
      </c>
      <c r="F393" s="21" t="str">
        <f t="shared" si="91"/>
        <v>#DIV/0!</v>
      </c>
      <c r="G393" s="22">
        <f t="shared" si="92"/>
        <v>5</v>
      </c>
      <c r="H393" s="23">
        <f t="shared" si="93"/>
        <v>2.5</v>
      </c>
      <c r="I393" s="24">
        <f t="shared" si="94"/>
        <v>0</v>
      </c>
      <c r="J393" s="25"/>
      <c r="K393" s="26"/>
      <c r="L393" s="27">
        <f t="shared" si="95"/>
        <v>50</v>
      </c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  <c r="AA393" s="9"/>
      <c r="AB393" s="9"/>
    </row>
    <row r="394" ht="15.75" hidden="1" customHeight="1" outlineLevel="1">
      <c r="A394" s="14">
        <v>46732.0</v>
      </c>
      <c r="B394" s="17">
        <f t="shared" si="90"/>
        <v>0</v>
      </c>
      <c r="C394" s="18">
        <v>0.1</v>
      </c>
      <c r="D394" s="19">
        <v>0.05</v>
      </c>
      <c r="E394" s="20">
        <v>3.0</v>
      </c>
      <c r="F394" s="21" t="str">
        <f t="shared" si="91"/>
        <v>#DIV/0!</v>
      </c>
      <c r="G394" s="22">
        <f t="shared" si="92"/>
        <v>5</v>
      </c>
      <c r="H394" s="23">
        <f t="shared" si="93"/>
        <v>2.5</v>
      </c>
      <c r="I394" s="24">
        <f t="shared" si="94"/>
        <v>0</v>
      </c>
      <c r="J394" s="25"/>
      <c r="K394" s="26"/>
      <c r="L394" s="27">
        <f t="shared" si="95"/>
        <v>50</v>
      </c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  <c r="AA394" s="9"/>
      <c r="AB394" s="9"/>
    </row>
    <row r="395" ht="15.75" hidden="1" customHeight="1" outlineLevel="1">
      <c r="A395" s="14">
        <v>46733.0</v>
      </c>
      <c r="B395" s="17">
        <f t="shared" si="90"/>
        <v>0</v>
      </c>
      <c r="C395" s="18">
        <v>0.1</v>
      </c>
      <c r="D395" s="19">
        <v>0.05</v>
      </c>
      <c r="E395" s="20">
        <v>3.0</v>
      </c>
      <c r="F395" s="21" t="str">
        <f t="shared" si="91"/>
        <v>#DIV/0!</v>
      </c>
      <c r="G395" s="22">
        <f t="shared" si="92"/>
        <v>5</v>
      </c>
      <c r="H395" s="23">
        <f t="shared" si="93"/>
        <v>2.5</v>
      </c>
      <c r="I395" s="24">
        <f t="shared" si="94"/>
        <v>0</v>
      </c>
      <c r="J395" s="25"/>
      <c r="K395" s="26"/>
      <c r="L395" s="27">
        <f t="shared" si="95"/>
        <v>50</v>
      </c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9"/>
      <c r="AA395" s="9"/>
      <c r="AB395" s="9"/>
    </row>
    <row r="396" ht="15.75" hidden="1" customHeight="1" outlineLevel="1">
      <c r="A396" s="14">
        <v>46734.0</v>
      </c>
      <c r="B396" s="17">
        <f t="shared" si="90"/>
        <v>0</v>
      </c>
      <c r="C396" s="18">
        <v>0.1</v>
      </c>
      <c r="D396" s="19">
        <v>0.05</v>
      </c>
      <c r="E396" s="20">
        <v>3.0</v>
      </c>
      <c r="F396" s="21" t="str">
        <f t="shared" si="91"/>
        <v>#DIV/0!</v>
      </c>
      <c r="G396" s="22">
        <f t="shared" si="92"/>
        <v>5</v>
      </c>
      <c r="H396" s="23">
        <f t="shared" si="93"/>
        <v>2.5</v>
      </c>
      <c r="I396" s="24">
        <f t="shared" si="94"/>
        <v>0</v>
      </c>
      <c r="J396" s="25"/>
      <c r="K396" s="26"/>
      <c r="L396" s="27">
        <f t="shared" si="95"/>
        <v>50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  <c r="AA396" s="9"/>
      <c r="AB396" s="9"/>
    </row>
    <row r="397" ht="15.75" hidden="1" customHeight="1" outlineLevel="1">
      <c r="A397" s="14">
        <v>46735.0</v>
      </c>
      <c r="B397" s="17">
        <f t="shared" si="90"/>
        <v>0</v>
      </c>
      <c r="C397" s="18">
        <v>0.1</v>
      </c>
      <c r="D397" s="19">
        <v>0.05</v>
      </c>
      <c r="E397" s="20">
        <v>3.0</v>
      </c>
      <c r="F397" s="21" t="str">
        <f t="shared" si="91"/>
        <v>#DIV/0!</v>
      </c>
      <c r="G397" s="22">
        <f t="shared" si="92"/>
        <v>5</v>
      </c>
      <c r="H397" s="23">
        <f t="shared" si="93"/>
        <v>2.5</v>
      </c>
      <c r="I397" s="24">
        <f t="shared" si="94"/>
        <v>0</v>
      </c>
      <c r="J397" s="25"/>
      <c r="K397" s="26"/>
      <c r="L397" s="27">
        <f t="shared" si="95"/>
        <v>50</v>
      </c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9"/>
      <c r="AA397" s="9"/>
      <c r="AB397" s="9"/>
    </row>
    <row r="398" ht="15.75" hidden="1" customHeight="1" outlineLevel="1">
      <c r="A398" s="14">
        <v>46736.0</v>
      </c>
      <c r="B398" s="17">
        <f t="shared" si="90"/>
        <v>0</v>
      </c>
      <c r="C398" s="18">
        <v>0.1</v>
      </c>
      <c r="D398" s="19">
        <v>0.05</v>
      </c>
      <c r="E398" s="20">
        <v>3.0</v>
      </c>
      <c r="F398" s="21" t="str">
        <f t="shared" si="91"/>
        <v>#DIV/0!</v>
      </c>
      <c r="G398" s="22">
        <f t="shared" si="92"/>
        <v>5</v>
      </c>
      <c r="H398" s="23">
        <f t="shared" si="93"/>
        <v>2.5</v>
      </c>
      <c r="I398" s="24">
        <f t="shared" si="94"/>
        <v>0</v>
      </c>
      <c r="J398" s="25"/>
      <c r="K398" s="26"/>
      <c r="L398" s="27">
        <f t="shared" si="95"/>
        <v>50</v>
      </c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  <c r="AA398" s="9"/>
      <c r="AB398" s="9"/>
    </row>
    <row r="399" ht="15.75" hidden="1" customHeight="1" outlineLevel="1">
      <c r="A399" s="14">
        <v>46737.0</v>
      </c>
      <c r="B399" s="17">
        <f t="shared" si="90"/>
        <v>0</v>
      </c>
      <c r="C399" s="18">
        <v>0.1</v>
      </c>
      <c r="D399" s="19">
        <v>0.05</v>
      </c>
      <c r="E399" s="20">
        <v>3.0</v>
      </c>
      <c r="F399" s="21" t="str">
        <f t="shared" si="91"/>
        <v>#DIV/0!</v>
      </c>
      <c r="G399" s="22">
        <f t="shared" si="92"/>
        <v>5</v>
      </c>
      <c r="H399" s="23">
        <f t="shared" si="93"/>
        <v>2.5</v>
      </c>
      <c r="I399" s="24">
        <f t="shared" si="94"/>
        <v>0</v>
      </c>
      <c r="J399" s="25"/>
      <c r="K399" s="26"/>
      <c r="L399" s="27">
        <f t="shared" si="95"/>
        <v>50</v>
      </c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  <c r="AA399" s="9"/>
      <c r="AB399" s="9"/>
    </row>
    <row r="400" ht="15.75" hidden="1" customHeight="1" outlineLevel="1">
      <c r="A400" s="14">
        <v>46738.0</v>
      </c>
      <c r="B400" s="17">
        <f t="shared" si="90"/>
        <v>0</v>
      </c>
      <c r="C400" s="18">
        <v>0.1</v>
      </c>
      <c r="D400" s="19">
        <v>0.05</v>
      </c>
      <c r="E400" s="20">
        <v>3.0</v>
      </c>
      <c r="F400" s="21" t="str">
        <f t="shared" si="91"/>
        <v>#DIV/0!</v>
      </c>
      <c r="G400" s="22">
        <f t="shared" si="92"/>
        <v>5</v>
      </c>
      <c r="H400" s="23">
        <f t="shared" si="93"/>
        <v>2.5</v>
      </c>
      <c r="I400" s="24">
        <f t="shared" si="94"/>
        <v>0</v>
      </c>
      <c r="J400" s="25"/>
      <c r="K400" s="26"/>
      <c r="L400" s="27">
        <f t="shared" si="95"/>
        <v>50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9"/>
      <c r="AA400" s="9"/>
      <c r="AB400" s="9"/>
    </row>
    <row r="401" ht="15.75" hidden="1" customHeight="1" outlineLevel="1">
      <c r="A401" s="14">
        <v>46739.0</v>
      </c>
      <c r="B401" s="17">
        <f t="shared" si="90"/>
        <v>0</v>
      </c>
      <c r="C401" s="18">
        <v>0.1</v>
      </c>
      <c r="D401" s="19">
        <v>0.05</v>
      </c>
      <c r="E401" s="20">
        <v>3.0</v>
      </c>
      <c r="F401" s="21" t="str">
        <f t="shared" si="91"/>
        <v>#DIV/0!</v>
      </c>
      <c r="G401" s="22">
        <f t="shared" si="92"/>
        <v>5</v>
      </c>
      <c r="H401" s="23">
        <f t="shared" si="93"/>
        <v>2.5</v>
      </c>
      <c r="I401" s="24">
        <f t="shared" si="94"/>
        <v>0</v>
      </c>
      <c r="J401" s="25"/>
      <c r="K401" s="26"/>
      <c r="L401" s="27">
        <f t="shared" si="95"/>
        <v>50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  <c r="AA401" s="9"/>
      <c r="AB401" s="9"/>
    </row>
    <row r="402" ht="15.75" hidden="1" customHeight="1" outlineLevel="1">
      <c r="A402" s="14">
        <v>46740.0</v>
      </c>
      <c r="B402" s="17">
        <f t="shared" si="90"/>
        <v>0</v>
      </c>
      <c r="C402" s="18">
        <v>0.1</v>
      </c>
      <c r="D402" s="19">
        <v>0.05</v>
      </c>
      <c r="E402" s="20">
        <v>3.0</v>
      </c>
      <c r="F402" s="21" t="str">
        <f t="shared" si="91"/>
        <v>#DIV/0!</v>
      </c>
      <c r="G402" s="22">
        <f t="shared" si="92"/>
        <v>5</v>
      </c>
      <c r="H402" s="23">
        <f t="shared" si="93"/>
        <v>2.5</v>
      </c>
      <c r="I402" s="24">
        <f t="shared" si="94"/>
        <v>0</v>
      </c>
      <c r="J402" s="25"/>
      <c r="K402" s="26"/>
      <c r="L402" s="27">
        <f t="shared" si="95"/>
        <v>50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/>
      <c r="AA402" s="9"/>
      <c r="AB402" s="9"/>
    </row>
    <row r="403" ht="15.75" hidden="1" customHeight="1" outlineLevel="1">
      <c r="A403" s="14">
        <v>46741.0</v>
      </c>
      <c r="B403" s="17">
        <f t="shared" si="90"/>
        <v>0</v>
      </c>
      <c r="C403" s="18">
        <v>0.1</v>
      </c>
      <c r="D403" s="19">
        <v>0.05</v>
      </c>
      <c r="E403" s="20">
        <v>3.0</v>
      </c>
      <c r="F403" s="21" t="str">
        <f t="shared" si="91"/>
        <v>#DIV/0!</v>
      </c>
      <c r="G403" s="22">
        <f t="shared" si="92"/>
        <v>5</v>
      </c>
      <c r="H403" s="23">
        <f t="shared" si="93"/>
        <v>2.5</v>
      </c>
      <c r="I403" s="24">
        <f t="shared" si="94"/>
        <v>0</v>
      </c>
      <c r="J403" s="25"/>
      <c r="K403" s="26"/>
      <c r="L403" s="27">
        <f t="shared" si="95"/>
        <v>50</v>
      </c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/>
      <c r="AA403" s="9"/>
      <c r="AB403" s="9"/>
    </row>
    <row r="404" ht="15.75" hidden="1" customHeight="1" outlineLevel="1">
      <c r="A404" s="14">
        <v>46742.0</v>
      </c>
      <c r="B404" s="17">
        <f t="shared" si="90"/>
        <v>0</v>
      </c>
      <c r="C404" s="18">
        <v>0.1</v>
      </c>
      <c r="D404" s="19">
        <v>0.05</v>
      </c>
      <c r="E404" s="20">
        <v>3.0</v>
      </c>
      <c r="F404" s="21" t="str">
        <f t="shared" si="91"/>
        <v>#DIV/0!</v>
      </c>
      <c r="G404" s="22">
        <f t="shared" si="92"/>
        <v>5</v>
      </c>
      <c r="H404" s="23">
        <f t="shared" si="93"/>
        <v>2.5</v>
      </c>
      <c r="I404" s="24">
        <f t="shared" si="94"/>
        <v>0</v>
      </c>
      <c r="J404" s="25"/>
      <c r="K404" s="26"/>
      <c r="L404" s="27">
        <f t="shared" si="95"/>
        <v>50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/>
      <c r="AA404" s="9"/>
      <c r="AB404" s="9"/>
    </row>
    <row r="405" ht="15.75" hidden="1" customHeight="1" outlineLevel="1">
      <c r="A405" s="14">
        <v>46743.0</v>
      </c>
      <c r="B405" s="17">
        <f t="shared" si="90"/>
        <v>0</v>
      </c>
      <c r="C405" s="18">
        <v>0.1</v>
      </c>
      <c r="D405" s="19">
        <v>0.05</v>
      </c>
      <c r="E405" s="20">
        <v>3.0</v>
      </c>
      <c r="F405" s="21" t="str">
        <f t="shared" si="91"/>
        <v>#DIV/0!</v>
      </c>
      <c r="G405" s="22">
        <f t="shared" si="92"/>
        <v>5</v>
      </c>
      <c r="H405" s="23">
        <f t="shared" si="93"/>
        <v>2.5</v>
      </c>
      <c r="I405" s="24">
        <f t="shared" si="94"/>
        <v>0</v>
      </c>
      <c r="J405" s="25"/>
      <c r="K405" s="26"/>
      <c r="L405" s="27">
        <f t="shared" si="95"/>
        <v>50</v>
      </c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9"/>
      <c r="AA405" s="9"/>
      <c r="AB405" s="9"/>
    </row>
    <row r="406" ht="15.75" hidden="1" customHeight="1" outlineLevel="1">
      <c r="A406" s="14">
        <v>46744.0</v>
      </c>
      <c r="B406" s="17">
        <f t="shared" si="90"/>
        <v>0</v>
      </c>
      <c r="C406" s="18">
        <v>0.1</v>
      </c>
      <c r="D406" s="19">
        <v>0.05</v>
      </c>
      <c r="E406" s="20">
        <v>3.0</v>
      </c>
      <c r="F406" s="21" t="str">
        <f t="shared" si="91"/>
        <v>#DIV/0!</v>
      </c>
      <c r="G406" s="22">
        <f t="shared" si="92"/>
        <v>5</v>
      </c>
      <c r="H406" s="23">
        <f t="shared" si="93"/>
        <v>2.5</v>
      </c>
      <c r="I406" s="24">
        <f t="shared" si="94"/>
        <v>0</v>
      </c>
      <c r="J406" s="25"/>
      <c r="K406" s="26"/>
      <c r="L406" s="27">
        <f t="shared" si="95"/>
        <v>50</v>
      </c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/>
      <c r="AA406" s="9"/>
      <c r="AB406" s="9"/>
    </row>
    <row r="407" ht="15.75" hidden="1" customHeight="1" outlineLevel="1">
      <c r="A407" s="14">
        <v>46745.0</v>
      </c>
      <c r="B407" s="17">
        <f t="shared" si="90"/>
        <v>0</v>
      </c>
      <c r="C407" s="18">
        <v>0.1</v>
      </c>
      <c r="D407" s="19">
        <v>0.05</v>
      </c>
      <c r="E407" s="20">
        <v>3.0</v>
      </c>
      <c r="F407" s="21" t="str">
        <f t="shared" si="91"/>
        <v>#DIV/0!</v>
      </c>
      <c r="G407" s="22">
        <f t="shared" si="92"/>
        <v>5</v>
      </c>
      <c r="H407" s="23">
        <f t="shared" si="93"/>
        <v>2.5</v>
      </c>
      <c r="I407" s="24">
        <f t="shared" si="94"/>
        <v>0</v>
      </c>
      <c r="J407" s="25"/>
      <c r="K407" s="26"/>
      <c r="L407" s="27">
        <f t="shared" si="95"/>
        <v>50</v>
      </c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/>
      <c r="AA407" s="9"/>
      <c r="AB407" s="9"/>
    </row>
    <row r="408" ht="15.75" hidden="1" customHeight="1" outlineLevel="1">
      <c r="A408" s="14">
        <v>46746.0</v>
      </c>
      <c r="B408" s="17">
        <f t="shared" si="90"/>
        <v>0</v>
      </c>
      <c r="C408" s="18">
        <v>0.1</v>
      </c>
      <c r="D408" s="19">
        <v>0.05</v>
      </c>
      <c r="E408" s="20">
        <v>3.0</v>
      </c>
      <c r="F408" s="21" t="str">
        <f t="shared" si="91"/>
        <v>#DIV/0!</v>
      </c>
      <c r="G408" s="22">
        <f t="shared" si="92"/>
        <v>5</v>
      </c>
      <c r="H408" s="23">
        <f t="shared" si="93"/>
        <v>2.5</v>
      </c>
      <c r="I408" s="24">
        <f t="shared" si="94"/>
        <v>0</v>
      </c>
      <c r="J408" s="25"/>
      <c r="K408" s="26"/>
      <c r="L408" s="27">
        <f t="shared" si="95"/>
        <v>50</v>
      </c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  <c r="AA408" s="9"/>
      <c r="AB408" s="9"/>
    </row>
    <row r="409" ht="15.75" hidden="1" customHeight="1" outlineLevel="1">
      <c r="A409" s="14">
        <v>46747.0</v>
      </c>
      <c r="B409" s="17">
        <f t="shared" si="90"/>
        <v>0</v>
      </c>
      <c r="C409" s="18">
        <v>0.1</v>
      </c>
      <c r="D409" s="19">
        <v>0.05</v>
      </c>
      <c r="E409" s="20">
        <v>3.0</v>
      </c>
      <c r="F409" s="21" t="str">
        <f t="shared" si="91"/>
        <v>#DIV/0!</v>
      </c>
      <c r="G409" s="22">
        <f t="shared" si="92"/>
        <v>5</v>
      </c>
      <c r="H409" s="23">
        <f t="shared" si="93"/>
        <v>2.5</v>
      </c>
      <c r="I409" s="24">
        <f t="shared" si="94"/>
        <v>0</v>
      </c>
      <c r="J409" s="25"/>
      <c r="K409" s="26"/>
      <c r="L409" s="27">
        <f t="shared" si="95"/>
        <v>50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9"/>
      <c r="AA409" s="9"/>
      <c r="AB409" s="9"/>
    </row>
    <row r="410" ht="15.75" hidden="1" customHeight="1" outlineLevel="1">
      <c r="A410" s="14">
        <v>46748.0</v>
      </c>
      <c r="B410" s="17">
        <f t="shared" si="90"/>
        <v>0</v>
      </c>
      <c r="C410" s="18">
        <v>0.1</v>
      </c>
      <c r="D410" s="19">
        <v>0.05</v>
      </c>
      <c r="E410" s="20">
        <v>3.0</v>
      </c>
      <c r="F410" s="21" t="str">
        <f t="shared" si="91"/>
        <v>#DIV/0!</v>
      </c>
      <c r="G410" s="22">
        <f t="shared" si="92"/>
        <v>5</v>
      </c>
      <c r="H410" s="23">
        <f t="shared" si="93"/>
        <v>2.5</v>
      </c>
      <c r="I410" s="24">
        <f t="shared" si="94"/>
        <v>0</v>
      </c>
      <c r="J410" s="25"/>
      <c r="K410" s="26"/>
      <c r="L410" s="27">
        <f t="shared" si="95"/>
        <v>50</v>
      </c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9"/>
      <c r="AA410" s="9"/>
      <c r="AB410" s="9"/>
    </row>
    <row r="411" ht="15.75" hidden="1" customHeight="1" outlineLevel="1">
      <c r="A411" s="14">
        <v>46749.0</v>
      </c>
      <c r="B411" s="17">
        <f t="shared" si="90"/>
        <v>0</v>
      </c>
      <c r="C411" s="18">
        <v>0.1</v>
      </c>
      <c r="D411" s="19">
        <v>0.05</v>
      </c>
      <c r="E411" s="20">
        <v>3.0</v>
      </c>
      <c r="F411" s="21" t="str">
        <f t="shared" si="91"/>
        <v>#DIV/0!</v>
      </c>
      <c r="G411" s="22">
        <f t="shared" si="92"/>
        <v>5</v>
      </c>
      <c r="H411" s="23">
        <f t="shared" si="93"/>
        <v>2.5</v>
      </c>
      <c r="I411" s="24">
        <f t="shared" si="94"/>
        <v>0</v>
      </c>
      <c r="J411" s="25"/>
      <c r="K411" s="26"/>
      <c r="L411" s="27">
        <f t="shared" si="95"/>
        <v>50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/>
      <c r="AA411" s="9"/>
      <c r="AB411" s="9"/>
    </row>
    <row r="412" ht="15.75" hidden="1" customHeight="1" outlineLevel="1">
      <c r="A412" s="14">
        <v>46750.0</v>
      </c>
      <c r="B412" s="17">
        <f t="shared" si="90"/>
        <v>0</v>
      </c>
      <c r="C412" s="18">
        <v>0.1</v>
      </c>
      <c r="D412" s="19">
        <v>0.05</v>
      </c>
      <c r="E412" s="20">
        <v>3.0</v>
      </c>
      <c r="F412" s="21" t="str">
        <f t="shared" si="91"/>
        <v>#DIV/0!</v>
      </c>
      <c r="G412" s="22">
        <f t="shared" si="92"/>
        <v>5</v>
      </c>
      <c r="H412" s="23">
        <f t="shared" si="93"/>
        <v>2.5</v>
      </c>
      <c r="I412" s="24">
        <f t="shared" si="94"/>
        <v>0</v>
      </c>
      <c r="J412" s="25"/>
      <c r="K412" s="26"/>
      <c r="L412" s="27">
        <f t="shared" si="95"/>
        <v>50</v>
      </c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9"/>
      <c r="AA412" s="9"/>
      <c r="AB412" s="9"/>
    </row>
    <row r="413" ht="15.75" hidden="1" customHeight="1" outlineLevel="1">
      <c r="A413" s="14">
        <v>46751.0</v>
      </c>
      <c r="B413" s="17">
        <f t="shared" si="90"/>
        <v>0</v>
      </c>
      <c r="C413" s="18">
        <v>0.1</v>
      </c>
      <c r="D413" s="19">
        <v>0.05</v>
      </c>
      <c r="E413" s="20">
        <v>3.0</v>
      </c>
      <c r="F413" s="21" t="str">
        <f t="shared" si="91"/>
        <v>#DIV/0!</v>
      </c>
      <c r="G413" s="22">
        <f t="shared" si="92"/>
        <v>5</v>
      </c>
      <c r="H413" s="23">
        <f t="shared" si="93"/>
        <v>2.5</v>
      </c>
      <c r="I413" s="24">
        <f t="shared" si="94"/>
        <v>0</v>
      </c>
      <c r="J413" s="25"/>
      <c r="K413" s="26"/>
      <c r="L413" s="27">
        <f t="shared" si="95"/>
        <v>50</v>
      </c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/>
      <c r="AA413" s="9"/>
      <c r="AB413" s="9"/>
    </row>
    <row r="414" ht="15.75" hidden="1" customHeight="1" outlineLevel="1">
      <c r="A414" s="14">
        <v>46752.0</v>
      </c>
      <c r="B414" s="17">
        <f t="shared" si="90"/>
        <v>0</v>
      </c>
      <c r="C414" s="18">
        <v>0.1</v>
      </c>
      <c r="D414" s="19">
        <v>0.05</v>
      </c>
      <c r="E414" s="20">
        <v>3.0</v>
      </c>
      <c r="F414" s="21" t="str">
        <f t="shared" si="91"/>
        <v>#DIV/0!</v>
      </c>
      <c r="G414" s="22">
        <f t="shared" si="92"/>
        <v>5</v>
      </c>
      <c r="H414" s="23">
        <f t="shared" si="93"/>
        <v>2.5</v>
      </c>
      <c r="I414" s="24">
        <f t="shared" si="94"/>
        <v>0</v>
      </c>
      <c r="J414" s="25"/>
      <c r="K414" s="26"/>
      <c r="L414" s="27">
        <f t="shared" si="95"/>
        <v>50</v>
      </c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/>
      <c r="AA414" s="9"/>
      <c r="AB414" s="9"/>
    </row>
    <row r="415" ht="15.75" hidden="1" customHeight="1" outlineLevel="1">
      <c r="A415" s="28" t="s">
        <v>18</v>
      </c>
      <c r="C415" s="29">
        <f>SUM(C384:C414)</f>
        <v>3.1</v>
      </c>
      <c r="D415" s="30"/>
      <c r="E415" s="30"/>
      <c r="F415" s="30"/>
      <c r="G415" s="30"/>
      <c r="H415" s="30"/>
      <c r="I415" s="30" t="str">
        <f t="shared" ref="I415:K415" si="96">SUM(I384:I414)</f>
        <v>#DIV/0!</v>
      </c>
      <c r="J415" s="32">
        <f t="shared" si="96"/>
        <v>0</v>
      </c>
      <c r="K415" s="30">
        <f t="shared" si="96"/>
        <v>0</v>
      </c>
      <c r="L415" s="32">
        <f>L414</f>
        <v>50</v>
      </c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9"/>
      <c r="AA415" s="9"/>
      <c r="AB415" s="9"/>
    </row>
    <row r="416" ht="15.75" customHeight="1">
      <c r="A416" s="38"/>
      <c r="B416" s="35"/>
      <c r="C416" s="35"/>
      <c r="D416" s="35"/>
      <c r="E416" s="35"/>
      <c r="F416" s="35"/>
      <c r="G416" s="35"/>
      <c r="H416" s="35"/>
      <c r="I416" s="35"/>
      <c r="J416" s="35"/>
      <c r="K416" s="37">
        <f>SUM(K384:K414)</f>
        <v>0</v>
      </c>
      <c r="L416" s="35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/>
      <c r="AA416" s="9"/>
      <c r="AB416" s="9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9"/>
      <c r="AA417" s="9"/>
      <c r="AB417" s="9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  <c r="AA418" s="9"/>
      <c r="AB418" s="9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  <c r="AA419" s="9"/>
      <c r="AB419" s="9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9"/>
      <c r="AA420" s="9"/>
      <c r="AB420" s="9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  <c r="AA421" s="9"/>
      <c r="AB421" s="9"/>
    </row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B1:C1"/>
    <mergeCell ref="D1:D2"/>
    <mergeCell ref="E1:E2"/>
    <mergeCell ref="F1:G2"/>
    <mergeCell ref="B2:C2"/>
    <mergeCell ref="A3:L3"/>
    <mergeCell ref="A4:L4"/>
    <mergeCell ref="A37:B37"/>
    <mergeCell ref="A39:L39"/>
    <mergeCell ref="A69:B69"/>
    <mergeCell ref="A71:L71"/>
    <mergeCell ref="A104:B104"/>
    <mergeCell ref="A106:L106"/>
    <mergeCell ref="A140:L140"/>
    <mergeCell ref="A138:B138"/>
    <mergeCell ref="A173:B173"/>
    <mergeCell ref="A175:L175"/>
    <mergeCell ref="A207:B207"/>
    <mergeCell ref="A209:L209"/>
    <mergeCell ref="A242:B242"/>
    <mergeCell ref="A244:L244"/>
    <mergeCell ref="A380:B380"/>
    <mergeCell ref="A415:B415"/>
    <mergeCell ref="A277:B277"/>
    <mergeCell ref="A279:L279"/>
    <mergeCell ref="A311:B311"/>
    <mergeCell ref="A313:L313"/>
    <mergeCell ref="A346:B346"/>
    <mergeCell ref="A348:L348"/>
    <mergeCell ref="A382:L382"/>
  </mergeCells>
  <conditionalFormatting sqref="C6:I36 C41:I68 C73:I103 C108:I137 C142:I172 C177:I206 C211:I241 C246:I276 C281:I310 C315:I345 C350:I379 C384:I414">
    <cfRule type="expression" dxfId="0" priority="1">
      <formula>$I6=0</formula>
    </cfRule>
  </conditionalFormatting>
  <conditionalFormatting sqref="C6:I36 C41:I68 C73:I103 C108:I137 C142:I172 C177:I206 C211:I241 C246:I276 C281:I310 C315:I345 C350:I379 C384:I414">
    <cfRule type="expression" dxfId="1" priority="2">
      <formula>$I6&gt;10</formula>
    </cfRule>
  </conditionalFormatting>
  <conditionalFormatting sqref="C6:I36 C41:I68 C73:I103 C108:I137 C142:I172 C177:I206 C211:I241 C246:I276 C281:I310 C315:I345 C350:I379 C384:I414">
    <cfRule type="expression" dxfId="2" priority="3">
      <formula>$I6=10</formula>
    </cfRule>
  </conditionalFormatting>
  <conditionalFormatting sqref="C6:I36 C41:I68 C73:I103 C108:I137 C142:I172 C177:I206 C211:I241 C246:I276 C281:I310 C315:I345 C350:I379 C384:I414">
    <cfRule type="expression" dxfId="3" priority="4">
      <formula>$I6&gt;=0</formula>
    </cfRule>
  </conditionalFormatting>
  <conditionalFormatting sqref="C6:I36 C41:I68 C73:I103 C108:I137 C142:I172 C177:I206 C211:I241 C246:I276 C281:I310 C315:I345 C350:I379 C384:I414">
    <cfRule type="expression" dxfId="4" priority="5">
      <formula>$I6&lt;-10</formula>
    </cfRule>
  </conditionalFormatting>
  <conditionalFormatting sqref="C6:I36 C41:I68 C73:I103 C108:I137 C142:I172 C177:I206 C211:I241 C246:I276 C281:I310 C315:I345 C350:I379 C384:I414">
    <cfRule type="expression" dxfId="5" priority="6">
      <formula>$I6=-10</formula>
    </cfRule>
  </conditionalFormatting>
  <conditionalFormatting sqref="C6:I36 C41:I68 C73:I103 C108:I137 C142:I172 C177:I206 C211:I241 C246:I276 C281:I310 C315:I345 C350:I379 C384:I414">
    <cfRule type="expression" dxfId="6" priority="7">
      <formula>$I6&gt;=-1</formula>
    </cfRule>
  </conditionalFormatting>
  <conditionalFormatting sqref="C6:I36 C41:I68 C73:I103 C108:I137 C142:I172 C177:I206 C211:I241 C246:I276 C281:I310 C315:I345 C350:I379 C384:I414">
    <cfRule type="expression" dxfId="6" priority="8">
      <formula>$I6&lt;-1</formula>
    </cfRule>
  </conditionalFormatting>
  <conditionalFormatting sqref="C6:I36 C41:I68 C73:I103 C108:I137 C142:I172 C177:I206 C211:I241 C246:I276 C281:I310 C315:I345 C350:I379 C384:I414">
    <cfRule type="expression" dxfId="6" priority="9">
      <formula>$I6&lt;-1</formula>
    </cfRule>
  </conditionalFormatting>
  <drawing r:id="rId1"/>
</worksheet>
</file>